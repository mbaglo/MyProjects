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t0-my.sharepoint.com/personal/gm6629_rit_edu/Documents/Documents/kgcoe-git/gloria-mbaka-new/MyRITCourses/Spring_2025/CMPE.630.0101L1 - Digital IC Design - 1162025 - 1003 AM/Labs/Project/"/>
    </mc:Choice>
  </mc:AlternateContent>
  <xr:revisionPtr revIDLastSave="282" documentId="13_ncr:1_{9EA9043B-F4ED-4990-AE43-756A3C7FABF8}" xr6:coauthVersionLast="47" xr6:coauthVersionMax="47" xr10:uidLastSave="{B5563A99-3D42-4AF5-8ACE-34A28A5F5BCB}"/>
  <bookViews>
    <workbookView xWindow="1428" yWindow="1428" windowWidth="17280" windowHeight="8928" xr2:uid="{D7652B19-8278-4DBD-A117-6D7633EFECD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17" i="1" s="1"/>
  <c r="F4" i="1"/>
  <c r="B59" i="1"/>
  <c r="B68" i="1" l="1"/>
  <c r="B63" i="1"/>
  <c r="B83" i="1"/>
  <c r="B76" i="1"/>
  <c r="B77" i="1" s="1"/>
  <c r="B78" i="1" s="1"/>
  <c r="B82" i="1"/>
  <c r="F18" i="1"/>
  <c r="I25" i="1"/>
  <c r="H23" i="1"/>
  <c r="F7" i="1" l="1"/>
  <c r="F11" i="1" s="1"/>
  <c r="F12" i="1"/>
  <c r="I23" i="1" s="1"/>
  <c r="F16" i="1"/>
  <c r="F15" i="1"/>
  <c r="F28" i="1"/>
  <c r="F8" i="1"/>
  <c r="F31" i="1" l="1"/>
  <c r="F32" i="1"/>
  <c r="I24" i="1"/>
  <c r="H25" i="1"/>
  <c r="F27" i="1"/>
  <c r="F29" i="1" s="1"/>
  <c r="H24" i="1"/>
  <c r="F33" i="1" l="1"/>
</calcChain>
</file>

<file path=xl/sharedStrings.xml><?xml version="1.0" encoding="utf-8"?>
<sst xmlns="http://schemas.openxmlformats.org/spreadsheetml/2006/main" count="84" uniqueCount="52">
  <si>
    <t xml:space="preserve">Number of Rows </t>
  </si>
  <si>
    <t>Cell Dimensions</t>
  </si>
  <si>
    <t>PR Boundary Width</t>
  </si>
  <si>
    <t>PR Boundary Height</t>
  </si>
  <si>
    <t>Top Margin</t>
  </si>
  <si>
    <t>Bottom Margin</t>
  </si>
  <si>
    <t>Left Margin</t>
  </si>
  <si>
    <t>Right Margin</t>
  </si>
  <si>
    <t>Full Cell Width</t>
  </si>
  <si>
    <t>Full Cell Height</t>
  </si>
  <si>
    <r>
      <t>λ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rFont val="Arial"/>
      </rPr>
      <t>µ</t>
    </r>
    <r>
      <rPr>
        <sz val="11"/>
        <color theme="1"/>
        <rFont val="Aptos Narrow"/>
        <family val="2"/>
        <scheme val="minor"/>
      </rPr>
      <t>m)</t>
    </r>
  </si>
  <si>
    <r>
      <t>One Routing Track - 8*</t>
    </r>
    <r>
      <rPr>
        <sz val="10"/>
        <rFont val="Arial"/>
      </rPr>
      <t>λ</t>
    </r>
    <r>
      <rPr>
        <sz val="11"/>
        <color theme="1"/>
        <rFont val="Aptos Narrow"/>
        <family val="2"/>
        <scheme val="minor"/>
      </rPr>
      <t xml:space="preserve"> (W)</t>
    </r>
  </si>
  <si>
    <t>Two Routing Track (W)</t>
  </si>
  <si>
    <t>Four Routing Tracks (W)</t>
  </si>
  <si>
    <t>Full Cell Width (Check)</t>
  </si>
  <si>
    <t>Full Cell Height (Check)</t>
  </si>
  <si>
    <t>All Cell Area</t>
  </si>
  <si>
    <t>Total Width</t>
  </si>
  <si>
    <t>Total Height</t>
  </si>
  <si>
    <t>Row Calculation</t>
  </si>
  <si>
    <t xml:space="preserve">Bounding Box </t>
  </si>
  <si>
    <t>PR Region</t>
  </si>
  <si>
    <t>X</t>
  </si>
  <si>
    <t>Y</t>
  </si>
  <si>
    <t>Width</t>
  </si>
  <si>
    <t>Height</t>
  </si>
  <si>
    <t>Bounding Box Polygon Vertices</t>
  </si>
  <si>
    <t>X1</t>
  </si>
  <si>
    <t>Y1</t>
  </si>
  <si>
    <t>X2</t>
  </si>
  <si>
    <t>Y2</t>
  </si>
  <si>
    <t>X3</t>
  </si>
  <si>
    <t>Y3</t>
  </si>
  <si>
    <t>X4</t>
  </si>
  <si>
    <t>Y4</t>
  </si>
  <si>
    <t>Bounding Box Area</t>
  </si>
  <si>
    <t>PR Region Area</t>
  </si>
  <si>
    <t>Bounding Box Utilization</t>
  </si>
  <si>
    <t>Row Area</t>
  </si>
  <si>
    <t>Cells Area</t>
  </si>
  <si>
    <t>Row Utilization</t>
  </si>
  <si>
    <t>ADDDER Cell Count</t>
  </si>
  <si>
    <t>NAND Cell Count</t>
  </si>
  <si>
    <t>INV Cell Count</t>
  </si>
  <si>
    <t>Check Total Cell Dimensions</t>
  </si>
  <si>
    <t>Total Cell Count</t>
  </si>
  <si>
    <t>AND Gate Grid</t>
  </si>
  <si>
    <t xml:space="preserve">PR Boundary Width </t>
  </si>
  <si>
    <t>CSA Tree</t>
  </si>
  <si>
    <t xml:space="preserve">Number of Cells per Rows </t>
  </si>
  <si>
    <t xml:space="preserve">Number of Cells Rows </t>
  </si>
  <si>
    <t>TIELO  Cell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</si>
</sst>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indent="4"/>
    </xf>
    <xf numFmtId="0" fontId="0" fillId="2" borderId="2" xfId="0" applyFill="1" applyBorder="1" applyAlignment="1">
      <alignment horizontal="right" indent="1"/>
    </xf>
    <xf numFmtId="0" fontId="0" fillId="2" borderId="3" xfId="0" applyFill="1" applyBorder="1" applyAlignment="1">
      <alignment horizontal="right" indent="1"/>
    </xf>
    <xf numFmtId="0" fontId="2" fillId="2" borderId="4" xfId="0" applyFont="1" applyFill="1" applyBorder="1"/>
    <xf numFmtId="164" fontId="0" fillId="2" borderId="5" xfId="0" applyNumberFormat="1" applyFill="1" applyBorder="1"/>
    <xf numFmtId="0" fontId="0" fillId="2" borderId="6" xfId="0" applyFill="1" applyBorder="1" applyAlignment="1">
      <alignment horizontal="right" indent="1"/>
    </xf>
    <xf numFmtId="164" fontId="0" fillId="2" borderId="7" xfId="0" applyNumberFormat="1" applyFill="1" applyBorder="1"/>
    <xf numFmtId="0" fontId="0" fillId="2" borderId="8" xfId="0" applyFill="1" applyBorder="1" applyAlignment="1">
      <alignment horizontal="right" indent="1"/>
    </xf>
    <xf numFmtId="0" fontId="0" fillId="2" borderId="5" xfId="0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0" fontId="0" fillId="2" borderId="0" xfId="0" applyFill="1"/>
    <xf numFmtId="164" fontId="0" fillId="2" borderId="0" xfId="0" applyNumberFormat="1" applyFill="1"/>
    <xf numFmtId="164" fontId="0" fillId="3" borderId="7" xfId="0" applyNumberFormat="1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2" xfId="0" applyFill="1" applyBorder="1"/>
    <xf numFmtId="0" fontId="0" fillId="0" borderId="0" xfId="0" applyAlignment="1">
      <alignment horizontal="right" indent="1"/>
    </xf>
    <xf numFmtId="10" fontId="0" fillId="0" borderId="0" xfId="0" applyNumberFormat="1"/>
    <xf numFmtId="0" fontId="0" fillId="2" borderId="7" xfId="0" applyFill="1" applyBorder="1" applyAlignment="1">
      <alignment horizontal="right" indent="1"/>
    </xf>
    <xf numFmtId="0" fontId="0" fillId="0" borderId="7" xfId="0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21D5-CE96-48CC-8F18-6AF5F1B7E0B8}">
  <dimension ref="A2:I83"/>
  <sheetViews>
    <sheetView tabSelected="1" topLeftCell="A4" zoomScale="60" zoomScaleNormal="60" workbookViewId="0">
      <selection activeCell="P12" sqref="P12"/>
    </sheetView>
  </sheetViews>
  <sheetFormatPr defaultRowHeight="15" x14ac:dyDescent="0.25"/>
  <cols>
    <col min="1" max="1" width="34.28515625" customWidth="1"/>
    <col min="4" max="4" width="8.85546875" customWidth="1"/>
  </cols>
  <sheetData>
    <row r="2" spans="1:6" x14ac:dyDescent="0.25">
      <c r="E2" s="4" t="s">
        <v>16</v>
      </c>
      <c r="F2" s="9"/>
    </row>
    <row r="3" spans="1:6" x14ac:dyDescent="0.25">
      <c r="E3" s="6" t="s">
        <v>17</v>
      </c>
      <c r="F3" s="10">
        <f xml:space="preserve"> (B4 *B13 +B18 * B27 +B32 *B41 +B46 *B55)/B58</f>
        <v>60.41</v>
      </c>
    </row>
    <row r="4" spans="1:6" x14ac:dyDescent="0.25">
      <c r="A4" t="s">
        <v>41</v>
      </c>
      <c r="B4">
        <v>64</v>
      </c>
      <c r="E4" s="8" t="s">
        <v>18</v>
      </c>
      <c r="F4" s="11">
        <f>0.4 + (B58 * 1.71) + ((B58 -1)*0.8) + 0.4</f>
        <v>20.079999999999998</v>
      </c>
    </row>
    <row r="5" spans="1:6" x14ac:dyDescent="0.25">
      <c r="E5" s="12"/>
      <c r="F5" s="13"/>
    </row>
    <row r="6" spans="1:6" x14ac:dyDescent="0.25">
      <c r="A6" t="s">
        <v>1</v>
      </c>
      <c r="E6" s="4" t="s">
        <v>19</v>
      </c>
      <c r="F6" s="5"/>
    </row>
    <row r="7" spans="1:6" x14ac:dyDescent="0.25">
      <c r="A7" t="s">
        <v>2</v>
      </c>
      <c r="B7">
        <v>5.6</v>
      </c>
      <c r="E7" s="6" t="s">
        <v>17</v>
      </c>
      <c r="F7" s="10">
        <f>F3</f>
        <v>60.41</v>
      </c>
    </row>
    <row r="8" spans="1:6" x14ac:dyDescent="0.25">
      <c r="A8" t="s">
        <v>3</v>
      </c>
      <c r="B8">
        <v>1.71</v>
      </c>
      <c r="E8" s="8" t="s">
        <v>18</v>
      </c>
      <c r="F8" s="11">
        <f>F4</f>
        <v>20.079999999999998</v>
      </c>
    </row>
    <row r="9" spans="1:6" x14ac:dyDescent="0.25">
      <c r="A9" t="s">
        <v>4</v>
      </c>
      <c r="B9">
        <v>0.12</v>
      </c>
      <c r="E9" s="12"/>
      <c r="F9" s="13"/>
    </row>
    <row r="10" spans="1:6" x14ac:dyDescent="0.25">
      <c r="A10" t="s">
        <v>5</v>
      </c>
      <c r="B10">
        <v>7.0000000000000007E-2</v>
      </c>
      <c r="E10" s="4" t="s">
        <v>20</v>
      </c>
      <c r="F10" s="5"/>
    </row>
    <row r="11" spans="1:6" x14ac:dyDescent="0.25">
      <c r="A11" t="s">
        <v>6</v>
      </c>
      <c r="B11">
        <v>0.06</v>
      </c>
      <c r="E11" s="6" t="s">
        <v>17</v>
      </c>
      <c r="F11" s="10">
        <f>F7+B78</f>
        <v>61.209999999999994</v>
      </c>
    </row>
    <row r="12" spans="1:6" x14ac:dyDescent="0.25">
      <c r="A12" t="s">
        <v>7</v>
      </c>
      <c r="B12">
        <v>0.06</v>
      </c>
      <c r="E12" s="8" t="s">
        <v>18</v>
      </c>
      <c r="F12" s="11">
        <f>F4 + B78</f>
        <v>20.88</v>
      </c>
    </row>
    <row r="13" spans="1:6" x14ac:dyDescent="0.25">
      <c r="A13" t="s">
        <v>8</v>
      </c>
      <c r="B13">
        <v>5.72</v>
      </c>
      <c r="E13" s="12"/>
      <c r="F13" s="12"/>
    </row>
    <row r="14" spans="1:6" x14ac:dyDescent="0.25">
      <c r="A14" t="s">
        <v>9</v>
      </c>
      <c r="B14">
        <v>1.9</v>
      </c>
      <c r="E14" s="4" t="s">
        <v>21</v>
      </c>
      <c r="F14" s="9"/>
    </row>
    <row r="15" spans="1:6" x14ac:dyDescent="0.25">
      <c r="E15" s="6" t="s">
        <v>22</v>
      </c>
      <c r="F15" s="7">
        <f>B77</f>
        <v>0.4</v>
      </c>
    </row>
    <row r="16" spans="1:6" x14ac:dyDescent="0.25">
      <c r="E16" s="6" t="s">
        <v>23</v>
      </c>
      <c r="F16" s="14">
        <f>B77- MAX(B10,B24,B38)</f>
        <v>0.33</v>
      </c>
    </row>
    <row r="17" spans="1:9" x14ac:dyDescent="0.25">
      <c r="E17" s="6" t="s">
        <v>24</v>
      </c>
      <c r="F17" s="7">
        <f>F3</f>
        <v>60.41</v>
      </c>
    </row>
    <row r="18" spans="1:9" x14ac:dyDescent="0.25">
      <c r="A18" t="s">
        <v>42</v>
      </c>
      <c r="B18">
        <v>64</v>
      </c>
      <c r="E18" s="8" t="s">
        <v>25</v>
      </c>
      <c r="F18" s="7">
        <f>F4</f>
        <v>20.079999999999998</v>
      </c>
    </row>
    <row r="20" spans="1:9" x14ac:dyDescent="0.25">
      <c r="A20" t="s">
        <v>1</v>
      </c>
    </row>
    <row r="21" spans="1:9" x14ac:dyDescent="0.25">
      <c r="A21" t="s">
        <v>2</v>
      </c>
      <c r="B21">
        <v>0.8</v>
      </c>
      <c r="E21" s="4" t="s">
        <v>26</v>
      </c>
      <c r="F21" s="15"/>
      <c r="G21" s="15"/>
      <c r="H21" s="15"/>
      <c r="I21" s="9"/>
    </row>
    <row r="22" spans="1:9" x14ac:dyDescent="0.25">
      <c r="A22" t="s">
        <v>3</v>
      </c>
      <c r="B22">
        <v>1.71</v>
      </c>
      <c r="E22" s="16"/>
      <c r="F22" s="12" t="s">
        <v>27</v>
      </c>
      <c r="G22" s="12" t="s">
        <v>28</v>
      </c>
      <c r="H22" s="7">
        <v>0</v>
      </c>
      <c r="I22" s="7">
        <v>0</v>
      </c>
    </row>
    <row r="23" spans="1:9" x14ac:dyDescent="0.25">
      <c r="A23" t="s">
        <v>4</v>
      </c>
      <c r="B23">
        <v>0.12</v>
      </c>
      <c r="E23" s="16"/>
      <c r="F23" s="12" t="s">
        <v>29</v>
      </c>
      <c r="G23" s="12" t="s">
        <v>30</v>
      </c>
      <c r="H23" s="7">
        <f>H22</f>
        <v>0</v>
      </c>
      <c r="I23" s="7">
        <f>F12</f>
        <v>20.88</v>
      </c>
    </row>
    <row r="24" spans="1:9" x14ac:dyDescent="0.25">
      <c r="A24" t="s">
        <v>5</v>
      </c>
      <c r="B24">
        <v>7.0000000000000007E-2</v>
      </c>
      <c r="E24" s="16"/>
      <c r="F24" s="12" t="s">
        <v>31</v>
      </c>
      <c r="G24" s="12" t="s">
        <v>32</v>
      </c>
      <c r="H24" s="7">
        <f>F11</f>
        <v>61.209999999999994</v>
      </c>
      <c r="I24" s="7">
        <f>F12</f>
        <v>20.88</v>
      </c>
    </row>
    <row r="25" spans="1:9" x14ac:dyDescent="0.25">
      <c r="A25" t="s">
        <v>6</v>
      </c>
      <c r="B25">
        <v>0.06</v>
      </c>
      <c r="E25" s="17"/>
      <c r="F25" s="18" t="s">
        <v>33</v>
      </c>
      <c r="G25" s="18" t="s">
        <v>34</v>
      </c>
      <c r="H25" s="7">
        <f>F11</f>
        <v>61.209999999999994</v>
      </c>
      <c r="I25" s="7">
        <f>I22</f>
        <v>0</v>
      </c>
    </row>
    <row r="26" spans="1:9" x14ac:dyDescent="0.25">
      <c r="A26" t="s">
        <v>7</v>
      </c>
      <c r="B26">
        <v>0.06</v>
      </c>
    </row>
    <row r="27" spans="1:9" x14ac:dyDescent="0.25">
      <c r="A27" t="s">
        <v>8</v>
      </c>
      <c r="B27">
        <v>0.92</v>
      </c>
      <c r="E27" s="19" t="s">
        <v>35</v>
      </c>
      <c r="F27">
        <f>F11*F12</f>
        <v>1278.0647999999999</v>
      </c>
    </row>
    <row r="28" spans="1:9" x14ac:dyDescent="0.25">
      <c r="A28" t="s">
        <v>9</v>
      </c>
      <c r="B28">
        <v>1.9</v>
      </c>
      <c r="E28" s="19" t="s">
        <v>36</v>
      </c>
      <c r="F28">
        <f>F17*F18</f>
        <v>1213.0327999999997</v>
      </c>
    </row>
    <row r="29" spans="1:9" x14ac:dyDescent="0.25">
      <c r="E29" s="19" t="s">
        <v>37</v>
      </c>
      <c r="F29" s="20">
        <f>F28/F27</f>
        <v>0.94911682099373984</v>
      </c>
    </row>
    <row r="31" spans="1:9" x14ac:dyDescent="0.25">
      <c r="E31" s="19" t="s">
        <v>38</v>
      </c>
      <c r="F31">
        <f>F7*F8</f>
        <v>1213.0327999999997</v>
      </c>
    </row>
    <row r="32" spans="1:9" x14ac:dyDescent="0.25">
      <c r="A32" t="s">
        <v>43</v>
      </c>
      <c r="B32">
        <v>64</v>
      </c>
      <c r="E32" s="19" t="s">
        <v>39</v>
      </c>
      <c r="F32">
        <f>F3*F4</f>
        <v>1213.0327999999997</v>
      </c>
    </row>
    <row r="33" spans="1:6" x14ac:dyDescent="0.25">
      <c r="E33" s="19" t="s">
        <v>40</v>
      </c>
      <c r="F33" s="20">
        <f>(F32/F31)</f>
        <v>1</v>
      </c>
    </row>
    <row r="34" spans="1:6" x14ac:dyDescent="0.25">
      <c r="A34" t="s">
        <v>1</v>
      </c>
    </row>
    <row r="35" spans="1:6" x14ac:dyDescent="0.25">
      <c r="A35" t="s">
        <v>2</v>
      </c>
      <c r="B35">
        <v>0.6</v>
      </c>
    </row>
    <row r="36" spans="1:6" x14ac:dyDescent="0.25">
      <c r="A36" t="s">
        <v>3</v>
      </c>
      <c r="B36">
        <v>1.71</v>
      </c>
    </row>
    <row r="37" spans="1:6" x14ac:dyDescent="0.25">
      <c r="A37" t="s">
        <v>4</v>
      </c>
      <c r="B37">
        <v>0.12</v>
      </c>
    </row>
    <row r="38" spans="1:6" x14ac:dyDescent="0.25">
      <c r="A38" t="s">
        <v>5</v>
      </c>
      <c r="B38">
        <v>7.0000000000000007E-2</v>
      </c>
    </row>
    <row r="39" spans="1:6" x14ac:dyDescent="0.25">
      <c r="A39" t="s">
        <v>6</v>
      </c>
      <c r="B39">
        <v>0.06</v>
      </c>
    </row>
    <row r="40" spans="1:6" x14ac:dyDescent="0.25">
      <c r="A40" t="s">
        <v>7</v>
      </c>
      <c r="B40">
        <v>0.06</v>
      </c>
    </row>
    <row r="41" spans="1:6" x14ac:dyDescent="0.25">
      <c r="A41" t="s">
        <v>8</v>
      </c>
      <c r="B41">
        <v>0.72</v>
      </c>
    </row>
    <row r="42" spans="1:6" x14ac:dyDescent="0.25">
      <c r="A42" t="s">
        <v>9</v>
      </c>
      <c r="B42">
        <v>1.9</v>
      </c>
    </row>
    <row r="46" spans="1:6" x14ac:dyDescent="0.25">
      <c r="A46" t="s">
        <v>51</v>
      </c>
      <c r="B46">
        <v>17</v>
      </c>
    </row>
    <row r="48" spans="1:6" x14ac:dyDescent="0.25">
      <c r="A48" t="s">
        <v>1</v>
      </c>
    </row>
    <row r="49" spans="1:2" x14ac:dyDescent="0.25">
      <c r="A49" t="s">
        <v>2</v>
      </c>
      <c r="B49">
        <v>0.6</v>
      </c>
    </row>
    <row r="50" spans="1:2" x14ac:dyDescent="0.25">
      <c r="A50" t="s">
        <v>3</v>
      </c>
      <c r="B50">
        <v>1.71</v>
      </c>
    </row>
    <row r="51" spans="1:2" x14ac:dyDescent="0.25">
      <c r="A51" t="s">
        <v>4</v>
      </c>
      <c r="B51">
        <v>0.12</v>
      </c>
    </row>
    <row r="52" spans="1:2" x14ac:dyDescent="0.25">
      <c r="A52" t="s">
        <v>5</v>
      </c>
      <c r="B52">
        <v>7.0000000000000007E-2</v>
      </c>
    </row>
    <row r="53" spans="1:2" x14ac:dyDescent="0.25">
      <c r="A53" t="s">
        <v>6</v>
      </c>
      <c r="B53">
        <v>0.06</v>
      </c>
    </row>
    <row r="54" spans="1:2" x14ac:dyDescent="0.25">
      <c r="A54" t="s">
        <v>7</v>
      </c>
      <c r="B54">
        <v>0.06</v>
      </c>
    </row>
    <row r="55" spans="1:2" x14ac:dyDescent="0.25">
      <c r="A55" t="s">
        <v>8</v>
      </c>
      <c r="B55">
        <v>0.72</v>
      </c>
    </row>
    <row r="56" spans="1:2" x14ac:dyDescent="0.25">
      <c r="A56" t="s">
        <v>9</v>
      </c>
      <c r="B56">
        <v>1.9</v>
      </c>
    </row>
    <row r="58" spans="1:2" x14ac:dyDescent="0.25">
      <c r="A58" t="s">
        <v>0</v>
      </c>
      <c r="B58">
        <v>8</v>
      </c>
    </row>
    <row r="59" spans="1:2" x14ac:dyDescent="0.25">
      <c r="A59" t="s">
        <v>45</v>
      </c>
      <c r="B59">
        <f>B4 +B18 +B32 +B46</f>
        <v>209</v>
      </c>
    </row>
    <row r="61" spans="1:2" x14ac:dyDescent="0.25">
      <c r="A61" s="23" t="s">
        <v>46</v>
      </c>
      <c r="B61" s="22"/>
    </row>
    <row r="62" spans="1:2" x14ac:dyDescent="0.25">
      <c r="A62" s="22" t="s">
        <v>49</v>
      </c>
      <c r="B62" s="22">
        <v>8</v>
      </c>
    </row>
    <row r="63" spans="1:2" x14ac:dyDescent="0.25">
      <c r="A63" s="22" t="s">
        <v>47</v>
      </c>
      <c r="B63" s="22">
        <f xml:space="preserve"> B62*(B27+B41)</f>
        <v>13.120000000000001</v>
      </c>
    </row>
    <row r="64" spans="1:2" x14ac:dyDescent="0.25">
      <c r="A64" s="22"/>
      <c r="B64" s="22"/>
    </row>
    <row r="65" spans="1:2" x14ac:dyDescent="0.25">
      <c r="A65" s="22"/>
      <c r="B65" s="22"/>
    </row>
    <row r="66" spans="1:2" x14ac:dyDescent="0.25">
      <c r="A66" s="23" t="s">
        <v>48</v>
      </c>
      <c r="B66" s="22"/>
    </row>
    <row r="67" spans="1:2" x14ac:dyDescent="0.25">
      <c r="A67" s="22" t="s">
        <v>50</v>
      </c>
      <c r="B67" s="22">
        <v>8</v>
      </c>
    </row>
    <row r="68" spans="1:2" x14ac:dyDescent="0.25">
      <c r="A68" s="22" t="s">
        <v>2</v>
      </c>
      <c r="B68" s="22">
        <f xml:space="preserve"> B67*B13</f>
        <v>45.76</v>
      </c>
    </row>
    <row r="74" spans="1:2" x14ac:dyDescent="0.25">
      <c r="A74" s="21"/>
      <c r="B74" s="7"/>
    </row>
    <row r="75" spans="1:2" x14ac:dyDescent="0.25">
      <c r="A75" s="1" t="s">
        <v>10</v>
      </c>
      <c r="B75" s="7">
        <v>2.5000000000000001E-2</v>
      </c>
    </row>
    <row r="76" spans="1:2" x14ac:dyDescent="0.25">
      <c r="A76" s="2" t="s">
        <v>11</v>
      </c>
      <c r="B76" s="7">
        <f>B75*8</f>
        <v>0.2</v>
      </c>
    </row>
    <row r="77" spans="1:2" x14ac:dyDescent="0.25">
      <c r="A77" s="2" t="s">
        <v>12</v>
      </c>
      <c r="B77" s="7">
        <f>B76*2</f>
        <v>0.4</v>
      </c>
    </row>
    <row r="78" spans="1:2" x14ac:dyDescent="0.25">
      <c r="A78" s="3" t="s">
        <v>13</v>
      </c>
      <c r="B78" s="7">
        <f>B77*2</f>
        <v>0.8</v>
      </c>
    </row>
    <row r="79" spans="1:2" x14ac:dyDescent="0.25">
      <c r="A79" s="21"/>
      <c r="B79" s="7"/>
    </row>
    <row r="81" spans="1:2" x14ac:dyDescent="0.25">
      <c r="A81" s="4" t="s">
        <v>44</v>
      </c>
      <c r="B81" s="5"/>
    </row>
    <row r="82" spans="1:2" x14ac:dyDescent="0.25">
      <c r="A82" s="6" t="s">
        <v>14</v>
      </c>
      <c r="B82" s="7">
        <f>B13+B27+B41</f>
        <v>7.3599999999999994</v>
      </c>
    </row>
    <row r="83" spans="1:2" x14ac:dyDescent="0.25">
      <c r="A83" s="8" t="s">
        <v>15</v>
      </c>
      <c r="B83" s="7">
        <f>MAX(B14,B28,B42)</f>
        <v>1.9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dd8f4f-3b8b-4768-aba7-bbd379e0736b}" enabled="0" method="" siteId="{f9dd8f4f-3b8b-4768-aba7-bbd379e07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Gloria Mbaka (RIT Student)</cp:lastModifiedBy>
  <dcterms:created xsi:type="dcterms:W3CDTF">2025-03-22T14:50:35Z</dcterms:created>
  <dcterms:modified xsi:type="dcterms:W3CDTF">2025-04-22T20:51:02Z</dcterms:modified>
</cp:coreProperties>
</file>