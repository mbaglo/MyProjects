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t0-my.sharepoint.com/personal/gm6629_rit_edu/Documents/Documents/kgcoe-git/gloria-mbaka-new/MyRITCourses/Spring_2025/CMPE.630.0101L1 - Digital IC Design - 1162025 - 1003 AM/Labs/Project/"/>
    </mc:Choice>
  </mc:AlternateContent>
  <xr:revisionPtr revIDLastSave="312" documentId="8_{4492D089-31AB-4376-8A87-55C3D4B25EAC}" xr6:coauthVersionLast="47" xr6:coauthVersionMax="47" xr10:uidLastSave="{CE1608D7-4957-40F5-B111-8EF5D5E1C7D9}"/>
  <bookViews>
    <workbookView xWindow="-96" yWindow="0" windowWidth="11712" windowHeight="12336" firstSheet="4" activeTab="7" xr2:uid="{D7652B19-8278-4DBD-A117-6D7633EFECD0}"/>
  </bookViews>
  <sheets>
    <sheet name="ADD" sheetId="1" r:id="rId1"/>
    <sheet name="MUX" sheetId="3" r:id="rId2"/>
    <sheet name="ALU8" sheetId="6" r:id="rId3"/>
    <sheet name="MULT" sheetId="5" r:id="rId4"/>
    <sheet name="LFSR" sheetId="9" r:id="rId5"/>
    <sheet name="SISR" sheetId="10" r:id="rId6"/>
    <sheet name="NAND16" sheetId="11" r:id="rId7"/>
    <sheet name="ALU_BIST" sheetId="12" r:id="rId8"/>
    <sheet name="Sheet1" sheetId="2" r:id="rId9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12" l="1"/>
  <c r="C57" i="12"/>
  <c r="B31" i="11"/>
  <c r="C43" i="12"/>
  <c r="B85" i="10"/>
  <c r="C30" i="12"/>
  <c r="C16" i="12"/>
  <c r="C2" i="12"/>
  <c r="F15" i="12"/>
  <c r="F16" i="12"/>
  <c r="F3" i="12"/>
  <c r="F4" i="12"/>
  <c r="F12" i="12"/>
  <c r="B61" i="12"/>
  <c r="B67" i="12" s="1"/>
  <c r="B60" i="12"/>
  <c r="B66" i="12"/>
  <c r="J10" i="12"/>
  <c r="J11" i="12" s="1"/>
  <c r="J12" i="12" s="1"/>
  <c r="B47" i="12"/>
  <c r="B46" i="12"/>
  <c r="B52" i="12" s="1"/>
  <c r="B53" i="12"/>
  <c r="B34" i="12"/>
  <c r="B33" i="12"/>
  <c r="B20" i="12"/>
  <c r="B19" i="12"/>
  <c r="B6" i="12"/>
  <c r="B12" i="12" s="1"/>
  <c r="B5" i="12"/>
  <c r="B40" i="12"/>
  <c r="B39" i="12"/>
  <c r="I25" i="12"/>
  <c r="H23" i="12"/>
  <c r="B26" i="12"/>
  <c r="B11" i="12"/>
  <c r="F16" i="11"/>
  <c r="F16" i="1"/>
  <c r="F16" i="5"/>
  <c r="F3" i="11"/>
  <c r="I25" i="11"/>
  <c r="H23" i="11"/>
  <c r="J9" i="11"/>
  <c r="J10" i="11" s="1"/>
  <c r="F4" i="11"/>
  <c r="F18" i="11" s="1"/>
  <c r="F17" i="11"/>
  <c r="J3" i="10"/>
  <c r="J9" i="10"/>
  <c r="J10" i="10" s="1"/>
  <c r="B54" i="10"/>
  <c r="B53" i="10"/>
  <c r="B40" i="10"/>
  <c r="B39" i="10"/>
  <c r="B26" i="10"/>
  <c r="I25" i="10"/>
  <c r="B25" i="10"/>
  <c r="H23" i="10"/>
  <c r="B12" i="10"/>
  <c r="B11" i="10"/>
  <c r="F4" i="10"/>
  <c r="F18" i="10" s="1"/>
  <c r="F3" i="9"/>
  <c r="B26" i="9"/>
  <c r="B25" i="9"/>
  <c r="B67" i="9"/>
  <c r="B68" i="9" s="1"/>
  <c r="B66" i="9"/>
  <c r="B54" i="9"/>
  <c r="B53" i="9"/>
  <c r="B40" i="9"/>
  <c r="B39" i="9"/>
  <c r="I25" i="9"/>
  <c r="H23" i="9"/>
  <c r="B12" i="9"/>
  <c r="B11" i="9"/>
  <c r="F4" i="9"/>
  <c r="F8" i="9" s="1"/>
  <c r="B57" i="9"/>
  <c r="F3" i="6"/>
  <c r="B56" i="6"/>
  <c r="F4" i="6" s="1"/>
  <c r="F18" i="6" s="1"/>
  <c r="B54" i="6"/>
  <c r="B53" i="6"/>
  <c r="B34" i="6"/>
  <c r="B40" i="6" s="1"/>
  <c r="B33" i="6"/>
  <c r="B39" i="6" s="1"/>
  <c r="B30" i="6"/>
  <c r="B20" i="6"/>
  <c r="B26" i="6" s="1"/>
  <c r="B19" i="6"/>
  <c r="B25" i="6" s="1"/>
  <c r="B16" i="6"/>
  <c r="B6" i="6"/>
  <c r="B12" i="6" s="1"/>
  <c r="B5" i="6"/>
  <c r="B11" i="6" s="1"/>
  <c r="F17" i="1"/>
  <c r="B2" i="6"/>
  <c r="B57" i="6" s="1"/>
  <c r="B66" i="6"/>
  <c r="B67" i="6" s="1"/>
  <c r="I25" i="6"/>
  <c r="H23" i="6"/>
  <c r="B83" i="5"/>
  <c r="B82" i="5"/>
  <c r="B76" i="5"/>
  <c r="B77" i="5" s="1"/>
  <c r="B68" i="5"/>
  <c r="B63" i="5"/>
  <c r="B59" i="5"/>
  <c r="I25" i="5"/>
  <c r="H23" i="5"/>
  <c r="F4" i="5"/>
  <c r="F18" i="5" s="1"/>
  <c r="F3" i="5"/>
  <c r="F17" i="5" s="1"/>
  <c r="F28" i="5" s="1"/>
  <c r="F8" i="12" l="1"/>
  <c r="F18" i="12"/>
  <c r="F28" i="11"/>
  <c r="F15" i="11"/>
  <c r="J11" i="11"/>
  <c r="F12" i="11" s="1"/>
  <c r="F32" i="11"/>
  <c r="F7" i="11"/>
  <c r="F8" i="11"/>
  <c r="F3" i="10"/>
  <c r="F17" i="10" s="1"/>
  <c r="F28" i="10" s="1"/>
  <c r="J11" i="10"/>
  <c r="F12" i="10" s="1"/>
  <c r="F16" i="10"/>
  <c r="F15" i="10"/>
  <c r="F8" i="10"/>
  <c r="F12" i="9"/>
  <c r="F32" i="9"/>
  <c r="I24" i="9"/>
  <c r="I23" i="9"/>
  <c r="F15" i="9"/>
  <c r="F16" i="9"/>
  <c r="F18" i="9"/>
  <c r="F17" i="6"/>
  <c r="F28" i="6" s="1"/>
  <c r="F16" i="6"/>
  <c r="F15" i="6"/>
  <c r="B68" i="6"/>
  <c r="F8" i="6"/>
  <c r="F12" i="6"/>
  <c r="B78" i="5"/>
  <c r="F15" i="5"/>
  <c r="F7" i="5"/>
  <c r="F32" i="5"/>
  <c r="F8" i="5"/>
  <c r="F12" i="5"/>
  <c r="I24" i="12" l="1"/>
  <c r="I23" i="12"/>
  <c r="I24" i="11"/>
  <c r="I23" i="11"/>
  <c r="F11" i="11"/>
  <c r="F31" i="11"/>
  <c r="F33" i="11" s="1"/>
  <c r="F7" i="10"/>
  <c r="F31" i="10" s="1"/>
  <c r="F32" i="10"/>
  <c r="I23" i="10"/>
  <c r="I24" i="10"/>
  <c r="F17" i="9"/>
  <c r="F28" i="9" s="1"/>
  <c r="F7" i="9"/>
  <c r="F11" i="9" s="1"/>
  <c r="F7" i="6"/>
  <c r="F11" i="6" s="1"/>
  <c r="F32" i="6"/>
  <c r="I23" i="6"/>
  <c r="I24" i="6"/>
  <c r="I23" i="5"/>
  <c r="I24" i="5"/>
  <c r="F11" i="5"/>
  <c r="F31" i="5"/>
  <c r="F33" i="5" s="1"/>
  <c r="F27" i="11" l="1"/>
  <c r="F29" i="11" s="1"/>
  <c r="H25" i="11"/>
  <c r="H24" i="11"/>
  <c r="F33" i="10"/>
  <c r="F11" i="10"/>
  <c r="H24" i="10" s="1"/>
  <c r="F31" i="9"/>
  <c r="F33" i="9" s="1"/>
  <c r="H25" i="9"/>
  <c r="H24" i="9"/>
  <c r="F27" i="9"/>
  <c r="F29" i="9"/>
  <c r="F31" i="6"/>
  <c r="F33" i="6" s="1"/>
  <c r="F27" i="6"/>
  <c r="F29" i="6" s="1"/>
  <c r="H25" i="6"/>
  <c r="H24" i="6"/>
  <c r="F27" i="5"/>
  <c r="F29" i="5" s="1"/>
  <c r="H25" i="5"/>
  <c r="H24" i="5"/>
  <c r="H25" i="10" l="1"/>
  <c r="F27" i="10"/>
  <c r="F29" i="10" s="1"/>
  <c r="H24" i="1"/>
  <c r="F11" i="1"/>
  <c r="F18" i="3"/>
  <c r="F17" i="3"/>
  <c r="F3" i="3"/>
  <c r="B22" i="3"/>
  <c r="B13" i="3"/>
  <c r="B23" i="3"/>
  <c r="B14" i="3"/>
  <c r="F3" i="1"/>
  <c r="B13" i="1"/>
  <c r="I25" i="3"/>
  <c r="H23" i="3"/>
  <c r="B18" i="3"/>
  <c r="B19" i="3" s="1"/>
  <c r="B17" i="3"/>
  <c r="F4" i="3"/>
  <c r="F12" i="3" l="1"/>
  <c r="F32" i="3"/>
  <c r="F7" i="3"/>
  <c r="F28" i="3"/>
  <c r="F8" i="3"/>
  <c r="F15" i="3"/>
  <c r="F16" i="3"/>
  <c r="F31" i="3" l="1"/>
  <c r="F33" i="3" s="1"/>
  <c r="F11" i="3"/>
  <c r="I24" i="3"/>
  <c r="I23" i="3"/>
  <c r="F27" i="3" l="1"/>
  <c r="F29" i="3" s="1"/>
  <c r="H25" i="3"/>
  <c r="H24" i="3"/>
  <c r="B22" i="1" l="1"/>
  <c r="F15" i="1"/>
  <c r="F4" i="1"/>
  <c r="F8" i="1" s="1"/>
  <c r="F12" i="1"/>
  <c r="I23" i="1" s="1"/>
  <c r="F18" i="1"/>
  <c r="B18" i="1"/>
  <c r="B17" i="1"/>
  <c r="B19" i="1" s="1"/>
  <c r="I25" i="1"/>
  <c r="H23" i="1"/>
  <c r="B23" i="1"/>
  <c r="F7" i="1" l="1"/>
  <c r="H25" i="1" s="1"/>
  <c r="F28" i="1"/>
  <c r="F32" i="1"/>
  <c r="F31" i="1"/>
  <c r="I24" i="1"/>
  <c r="F27" i="1"/>
  <c r="F29" i="1" l="1"/>
  <c r="F33" i="1"/>
  <c r="B25" i="12"/>
  <c r="F32" i="12" s="1"/>
  <c r="F7" i="12" l="1"/>
  <c r="F11" i="12" s="1"/>
  <c r="F17" i="12"/>
  <c r="F28" i="12" s="1"/>
  <c r="F31" i="12" l="1"/>
  <c r="F33" i="12" s="1"/>
  <c r="H24" i="12" l="1"/>
  <c r="F27" i="12"/>
  <c r="F29" i="12" s="1"/>
  <c r="H25" i="12"/>
  <c r="A1" i="5"/>
  <c r="A1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<sst xmlns="http://schemas.openxmlformats.org/spreadsheetml/2006/main" count="566" uniqueCount="68">
  <si>
    <t xml:space="preserve">Number of Rows </t>
  </si>
  <si>
    <t>Cell Count</t>
  </si>
  <si>
    <t>Cell Dimensions</t>
  </si>
  <si>
    <t>PR Boundary Width</t>
  </si>
  <si>
    <t>PR Boundary Height</t>
  </si>
  <si>
    <t>Top Margin</t>
  </si>
  <si>
    <t>Bottom Margin</t>
  </si>
  <si>
    <t>Left Margin</t>
  </si>
  <si>
    <t>Right Margin</t>
  </si>
  <si>
    <t>Full Cell Width</t>
  </si>
  <si>
    <t>Full Cell Height</t>
  </si>
  <si>
    <r>
      <t>λ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rFont val="Arial"/>
        <family val="2"/>
      </rPr>
      <t>µ</t>
    </r>
    <r>
      <rPr>
        <sz val="11"/>
        <color theme="1"/>
        <rFont val="Aptos Narrow"/>
        <family val="2"/>
        <scheme val="minor"/>
      </rPr>
      <t>m)</t>
    </r>
  </si>
  <si>
    <r>
      <t>One Routing Track - 8*</t>
    </r>
    <r>
      <rPr>
        <sz val="10"/>
        <rFont val="Arial"/>
        <family val="2"/>
      </rPr>
      <t>λ</t>
    </r>
    <r>
      <rPr>
        <sz val="11"/>
        <color theme="1"/>
        <rFont val="Aptos Narrow"/>
        <family val="2"/>
        <scheme val="minor"/>
      </rPr>
      <t xml:space="preserve"> (W)</t>
    </r>
  </si>
  <si>
    <t>Two Routing Track (W)</t>
  </si>
  <si>
    <t>Four Routing Tracks (W)</t>
  </si>
  <si>
    <t>Check Cell Dimensions</t>
  </si>
  <si>
    <t>Full Cell Width (Check)</t>
  </si>
  <si>
    <t>Full Cell Height (Check)</t>
  </si>
  <si>
    <t>All Cell Area</t>
  </si>
  <si>
    <t>Total Width</t>
  </si>
  <si>
    <t>Total Height</t>
  </si>
  <si>
    <t>Row Calculation</t>
  </si>
  <si>
    <t xml:space="preserve">Bounding Box </t>
  </si>
  <si>
    <t>PR Region</t>
  </si>
  <si>
    <t>X</t>
  </si>
  <si>
    <t>Y</t>
  </si>
  <si>
    <t>Width</t>
  </si>
  <si>
    <t>Height</t>
  </si>
  <si>
    <t>Bounding Box Polygon Vertices</t>
  </si>
  <si>
    <t>X1</t>
  </si>
  <si>
    <t>Y1</t>
  </si>
  <si>
    <t>X2</t>
  </si>
  <si>
    <t>Y2</t>
  </si>
  <si>
    <t>X3</t>
  </si>
  <si>
    <t>Y3</t>
  </si>
  <si>
    <t>X4</t>
  </si>
  <si>
    <t>Y4</t>
  </si>
  <si>
    <t>Bounding Box Area</t>
  </si>
  <si>
    <t>PR Region Area</t>
  </si>
  <si>
    <t>Bounding Box Utilization</t>
  </si>
  <si>
    <t>Row Area</t>
  </si>
  <si>
    <t>Cells Area</t>
  </si>
  <si>
    <t>Row Utilization</t>
  </si>
  <si>
    <t>ADDDER Cell Count</t>
  </si>
  <si>
    <t>NAND Cell Count</t>
  </si>
  <si>
    <t>INV Cell Count</t>
  </si>
  <si>
    <t>TIELO  Cell Count</t>
  </si>
  <si>
    <t>Total Cell Count</t>
  </si>
  <si>
    <t>AND Gate Grid</t>
  </si>
  <si>
    <t xml:space="preserve">Number of Cells per Rows </t>
  </si>
  <si>
    <t xml:space="preserve">PR Boundary Width </t>
  </si>
  <si>
    <t>CSA Tree</t>
  </si>
  <si>
    <t xml:space="preserve">Number of Cells Rows </t>
  </si>
  <si>
    <r>
      <t>λ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rFont val="Arial"/>
      </rPr>
      <t>µ</t>
    </r>
    <r>
      <rPr>
        <sz val="11"/>
        <color theme="1"/>
        <rFont val="Aptos Narrow"/>
        <family val="2"/>
        <scheme val="minor"/>
      </rPr>
      <t>m)</t>
    </r>
  </si>
  <si>
    <r>
      <t>One Routing Track - 8*</t>
    </r>
    <r>
      <rPr>
        <sz val="10"/>
        <rFont val="Arial"/>
      </rPr>
      <t>λ</t>
    </r>
    <r>
      <rPr>
        <sz val="11"/>
        <color theme="1"/>
        <rFont val="Aptos Narrow"/>
        <family val="2"/>
        <scheme val="minor"/>
      </rPr>
      <t xml:space="preserve"> (W)</t>
    </r>
  </si>
  <si>
    <t>Check Total Cell Dimensions</t>
  </si>
  <si>
    <t>ADD8 Cell Count</t>
  </si>
  <si>
    <t>MULT Cell Count</t>
  </si>
  <si>
    <t>MUX Cell Count</t>
  </si>
  <si>
    <t>DFF  Cell Count</t>
  </si>
  <si>
    <t>XOR Cell Count</t>
  </si>
  <si>
    <t>ALU Cell Count</t>
  </si>
  <si>
    <t>LFSR Cell Count</t>
  </si>
  <si>
    <t>SISR Cell Count</t>
  </si>
  <si>
    <t>NAND16 Cell Count</t>
  </si>
  <si>
    <t xml:space="preserve">Total Cell count </t>
  </si>
  <si>
    <t xml:space="preserve">Total cell count </t>
  </si>
  <si>
    <t>Total Cell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</si>
</sst>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indent="4"/>
    </xf>
    <xf numFmtId="0" fontId="0" fillId="2" borderId="2" xfId="0" applyFill="1" applyBorder="1" applyAlignment="1">
      <alignment horizontal="right" indent="1"/>
    </xf>
    <xf numFmtId="0" fontId="0" fillId="2" borderId="3" xfId="0" applyFill="1" applyBorder="1" applyAlignment="1">
      <alignment horizontal="right" indent="1"/>
    </xf>
    <xf numFmtId="0" fontId="2" fillId="2" borderId="4" xfId="0" applyFont="1" applyFill="1" applyBorder="1"/>
    <xf numFmtId="164" fontId="0" fillId="2" borderId="5" xfId="0" applyNumberFormat="1" applyFill="1" applyBorder="1"/>
    <xf numFmtId="0" fontId="0" fillId="2" borderId="6" xfId="0" applyFill="1" applyBorder="1" applyAlignment="1">
      <alignment horizontal="right" indent="1"/>
    </xf>
    <xf numFmtId="164" fontId="0" fillId="2" borderId="7" xfId="0" applyNumberFormat="1" applyFill="1" applyBorder="1"/>
    <xf numFmtId="0" fontId="0" fillId="2" borderId="8" xfId="0" applyFill="1" applyBorder="1" applyAlignment="1">
      <alignment horizontal="right" indent="1"/>
    </xf>
    <xf numFmtId="0" fontId="0" fillId="2" borderId="5" xfId="0" applyFill="1" applyBorder="1"/>
    <xf numFmtId="164" fontId="0" fillId="2" borderId="9" xfId="0" applyNumberFormat="1" applyFill="1" applyBorder="1"/>
    <xf numFmtId="164" fontId="0" fillId="2" borderId="10" xfId="0" applyNumberFormat="1" applyFill="1" applyBorder="1"/>
    <xf numFmtId="0" fontId="0" fillId="2" borderId="0" xfId="0" applyFill="1"/>
    <xf numFmtId="164" fontId="0" fillId="2" borderId="0" xfId="0" applyNumberFormat="1" applyFill="1"/>
    <xf numFmtId="164" fontId="0" fillId="3" borderId="7" xfId="0" applyNumberFormat="1" applyFill="1" applyBorder="1"/>
    <xf numFmtId="0" fontId="0" fillId="2" borderId="11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12" xfId="0" applyFill="1" applyBorder="1"/>
    <xf numFmtId="0" fontId="0" fillId="0" borderId="0" xfId="0" applyAlignment="1">
      <alignment horizontal="right" indent="1"/>
    </xf>
    <xf numFmtId="10" fontId="0" fillId="0" borderId="0" xfId="0" applyNumberFormat="1"/>
    <xf numFmtId="0" fontId="3" fillId="0" borderId="7" xfId="0" applyFont="1" applyBorder="1"/>
    <xf numFmtId="0" fontId="0" fillId="0" borderId="7" xfId="0" applyBorder="1"/>
    <xf numFmtId="0" fontId="0" fillId="2" borderId="7" xfId="0" applyFill="1" applyBorder="1" applyAlignment="1">
      <alignment horizontal="right" indent="1"/>
    </xf>
    <xf numFmtId="0" fontId="4" fillId="2" borderId="1" xfId="0" applyFont="1" applyFill="1" applyBorder="1" applyAlignment="1">
      <alignment horizontal="right" indent="4"/>
    </xf>
    <xf numFmtId="164" fontId="0" fillId="0" borderId="0" xfId="0" applyNumberFormat="1"/>
    <xf numFmtId="164" fontId="0" fillId="0" borderId="7" xfId="0" applyNumberFormat="1" applyBorder="1"/>
    <xf numFmtId="0" fontId="0" fillId="2" borderId="0" xfId="0" applyFill="1" applyBorder="1" applyAlignment="1">
      <alignment horizontal="right" indent="1"/>
    </xf>
    <xf numFmtId="164" fontId="0" fillId="2" borderId="0" xfId="0" applyNumberForma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21D5-CE96-48CC-8F18-6AF5F1B7E0B8}">
  <dimension ref="A2:I33"/>
  <sheetViews>
    <sheetView zoomScale="85" zoomScaleNormal="85" workbookViewId="0">
      <selection activeCell="F3" sqref="F3"/>
    </sheetView>
  </sheetViews>
  <sheetFormatPr defaultRowHeight="14.4" x14ac:dyDescent="0.3"/>
  <cols>
    <col min="1" max="1" width="34.33203125" customWidth="1"/>
  </cols>
  <sheetData>
    <row r="2" spans="1:6" x14ac:dyDescent="0.3">
      <c r="E2" s="4" t="s">
        <v>18</v>
      </c>
      <c r="F2" s="9"/>
    </row>
    <row r="3" spans="1:6" x14ac:dyDescent="0.3">
      <c r="A3" t="s">
        <v>0</v>
      </c>
      <c r="B3">
        <v>2</v>
      </c>
      <c r="E3" s="6" t="s">
        <v>19</v>
      </c>
      <c r="F3" s="10">
        <f>(B22*B4)/B3</f>
        <v>22.879999999999995</v>
      </c>
    </row>
    <row r="4" spans="1:6" x14ac:dyDescent="0.3">
      <c r="A4" t="s">
        <v>1</v>
      </c>
      <c r="B4">
        <v>8</v>
      </c>
      <c r="E4" s="8" t="s">
        <v>20</v>
      </c>
      <c r="F4" s="11">
        <f>0.4 + (B3 * 1.71) + ((B3 -1)*0.8) + 0.4</f>
        <v>5.0200000000000005</v>
      </c>
    </row>
    <row r="5" spans="1:6" x14ac:dyDescent="0.3">
      <c r="E5" s="12"/>
      <c r="F5" s="13"/>
    </row>
    <row r="6" spans="1:6" x14ac:dyDescent="0.3">
      <c r="A6" t="s">
        <v>2</v>
      </c>
      <c r="E6" s="4" t="s">
        <v>21</v>
      </c>
      <c r="F6" s="5"/>
    </row>
    <row r="7" spans="1:6" x14ac:dyDescent="0.3">
      <c r="A7" t="s">
        <v>3</v>
      </c>
      <c r="B7">
        <v>5.6</v>
      </c>
      <c r="E7" s="6" t="s">
        <v>19</v>
      </c>
      <c r="F7" s="10">
        <f>F3</f>
        <v>22.879999999999995</v>
      </c>
    </row>
    <row r="8" spans="1:6" x14ac:dyDescent="0.3">
      <c r="A8" t="s">
        <v>4</v>
      </c>
      <c r="B8">
        <v>1.71</v>
      </c>
      <c r="E8" s="8" t="s">
        <v>20</v>
      </c>
      <c r="F8" s="11">
        <f>F4</f>
        <v>5.0200000000000005</v>
      </c>
    </row>
    <row r="9" spans="1:6" x14ac:dyDescent="0.3">
      <c r="A9" t="s">
        <v>5</v>
      </c>
      <c r="B9">
        <v>0.12</v>
      </c>
      <c r="E9" s="12"/>
      <c r="F9" s="13"/>
    </row>
    <row r="10" spans="1:6" x14ac:dyDescent="0.3">
      <c r="A10" t="s">
        <v>6</v>
      </c>
      <c r="B10">
        <v>7.0000000000000007E-2</v>
      </c>
      <c r="E10" s="4" t="s">
        <v>22</v>
      </c>
      <c r="F10" s="5"/>
    </row>
    <row r="11" spans="1:6" x14ac:dyDescent="0.3">
      <c r="A11" t="s">
        <v>7</v>
      </c>
      <c r="B11">
        <v>0.06</v>
      </c>
      <c r="E11" s="6" t="s">
        <v>19</v>
      </c>
      <c r="F11" s="10">
        <f>F7+B19</f>
        <v>23.679999999999996</v>
      </c>
    </row>
    <row r="12" spans="1:6" x14ac:dyDescent="0.3">
      <c r="A12" t="s">
        <v>8</v>
      </c>
      <c r="B12">
        <v>0.06</v>
      </c>
      <c r="E12" s="8" t="s">
        <v>20</v>
      </c>
      <c r="F12" s="11">
        <f>F4 +B19</f>
        <v>5.82</v>
      </c>
    </row>
    <row r="13" spans="1:6" x14ac:dyDescent="0.3">
      <c r="A13" t="s">
        <v>9</v>
      </c>
      <c r="B13">
        <f>B7+B11+B12</f>
        <v>5.7199999999999989</v>
      </c>
      <c r="E13" s="12"/>
      <c r="F13" s="12"/>
    </row>
    <row r="14" spans="1:6" x14ac:dyDescent="0.3">
      <c r="A14" t="s">
        <v>10</v>
      </c>
      <c r="B14">
        <v>1.9</v>
      </c>
      <c r="E14" s="4" t="s">
        <v>23</v>
      </c>
      <c r="F14" s="9"/>
    </row>
    <row r="15" spans="1:6" x14ac:dyDescent="0.3">
      <c r="E15" s="6" t="s">
        <v>24</v>
      </c>
      <c r="F15" s="7">
        <f>B18</f>
        <v>0.4</v>
      </c>
    </row>
    <row r="16" spans="1:6" x14ac:dyDescent="0.3">
      <c r="A16" s="1" t="s">
        <v>11</v>
      </c>
      <c r="B16" s="7">
        <v>2.5000000000000001E-2</v>
      </c>
      <c r="E16" s="6" t="s">
        <v>25</v>
      </c>
      <c r="F16" s="14">
        <f>B18-B10</f>
        <v>0.33</v>
      </c>
    </row>
    <row r="17" spans="1:9" x14ac:dyDescent="0.3">
      <c r="A17" s="2" t="s">
        <v>12</v>
      </c>
      <c r="B17" s="7">
        <f>B16*8</f>
        <v>0.2</v>
      </c>
      <c r="E17" s="6" t="s">
        <v>26</v>
      </c>
      <c r="F17" s="7">
        <f>F3</f>
        <v>22.879999999999995</v>
      </c>
    </row>
    <row r="18" spans="1:9" x14ac:dyDescent="0.3">
      <c r="A18" s="2" t="s">
        <v>13</v>
      </c>
      <c r="B18" s="7">
        <f>B17*2</f>
        <v>0.4</v>
      </c>
      <c r="E18" s="8" t="s">
        <v>27</v>
      </c>
      <c r="F18" s="7">
        <f>0.4 + (B3 * 1.71) + ((B3 -1)*0.8) + 0.4</f>
        <v>5.0200000000000005</v>
      </c>
    </row>
    <row r="19" spans="1:9" x14ac:dyDescent="0.3">
      <c r="A19" s="3" t="s">
        <v>14</v>
      </c>
      <c r="B19" s="7">
        <f>B18*2</f>
        <v>0.8</v>
      </c>
    </row>
    <row r="21" spans="1:9" x14ac:dyDescent="0.3">
      <c r="A21" s="4" t="s">
        <v>15</v>
      </c>
      <c r="B21" s="5"/>
      <c r="E21" s="4" t="s">
        <v>28</v>
      </c>
      <c r="F21" s="15"/>
      <c r="G21" s="15"/>
      <c r="H21" s="15"/>
      <c r="I21" s="9"/>
    </row>
    <row r="22" spans="1:9" x14ac:dyDescent="0.3">
      <c r="A22" s="6" t="s">
        <v>16</v>
      </c>
      <c r="B22" s="7">
        <f>B7+B26+B27+B11+B12</f>
        <v>5.7199999999999989</v>
      </c>
      <c r="E22" s="16"/>
      <c r="F22" s="12" t="s">
        <v>29</v>
      </c>
      <c r="G22" s="12" t="s">
        <v>30</v>
      </c>
      <c r="H22" s="7">
        <v>0</v>
      </c>
      <c r="I22" s="7">
        <v>0</v>
      </c>
    </row>
    <row r="23" spans="1:9" x14ac:dyDescent="0.3">
      <c r="A23" s="8" t="s">
        <v>17</v>
      </c>
      <c r="B23" s="7">
        <f>B8+B9+B10</f>
        <v>1.9000000000000001</v>
      </c>
      <c r="E23" s="16"/>
      <c r="F23" s="12" t="s">
        <v>31</v>
      </c>
      <c r="G23" s="12" t="s">
        <v>32</v>
      </c>
      <c r="H23" s="7">
        <f>H22</f>
        <v>0</v>
      </c>
      <c r="I23" s="7">
        <f>F12</f>
        <v>5.82</v>
      </c>
    </row>
    <row r="24" spans="1:9" x14ac:dyDescent="0.3">
      <c r="E24" s="16"/>
      <c r="F24" s="12" t="s">
        <v>33</v>
      </c>
      <c r="G24" s="12" t="s">
        <v>34</v>
      </c>
      <c r="H24" s="7">
        <f>F11</f>
        <v>23.679999999999996</v>
      </c>
      <c r="I24" s="7">
        <f>F12</f>
        <v>5.82</v>
      </c>
    </row>
    <row r="25" spans="1:9" x14ac:dyDescent="0.3">
      <c r="E25" s="17"/>
      <c r="F25" s="18" t="s">
        <v>35</v>
      </c>
      <c r="G25" s="18" t="s">
        <v>36</v>
      </c>
      <c r="H25" s="7">
        <f>F11</f>
        <v>23.679999999999996</v>
      </c>
      <c r="I25" s="7">
        <f>I22</f>
        <v>0</v>
      </c>
    </row>
    <row r="27" spans="1:9" x14ac:dyDescent="0.3">
      <c r="E27" s="19" t="s">
        <v>37</v>
      </c>
      <c r="F27">
        <f>F11*F12</f>
        <v>137.81759999999997</v>
      </c>
    </row>
    <row r="28" spans="1:9" x14ac:dyDescent="0.3">
      <c r="E28" s="19" t="s">
        <v>38</v>
      </c>
      <c r="F28">
        <f>F17*F18</f>
        <v>114.85759999999999</v>
      </c>
    </row>
    <row r="29" spans="1:9" x14ac:dyDescent="0.3">
      <c r="E29" s="19" t="s">
        <v>39</v>
      </c>
      <c r="F29" s="20">
        <f>F28/F27</f>
        <v>0.83340299061948553</v>
      </c>
    </row>
    <row r="31" spans="1:9" x14ac:dyDescent="0.3">
      <c r="E31" s="19" t="s">
        <v>40</v>
      </c>
      <c r="F31">
        <f>F7*F8</f>
        <v>114.85759999999999</v>
      </c>
    </row>
    <row r="32" spans="1:9" x14ac:dyDescent="0.3">
      <c r="E32" s="19" t="s">
        <v>41</v>
      </c>
      <c r="F32">
        <f>F3*F4</f>
        <v>114.85759999999999</v>
      </c>
    </row>
    <row r="33" spans="5:6" x14ac:dyDescent="0.3">
      <c r="E33" s="19" t="s">
        <v>42</v>
      </c>
      <c r="F33" s="20">
        <f>(F32/F31)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C627-4A4D-4CDB-9F5A-3835B9A03543}">
  <dimension ref="A2:I33"/>
  <sheetViews>
    <sheetView zoomScale="101" workbookViewId="0">
      <selection activeCell="F12" sqref="F12"/>
    </sheetView>
  </sheetViews>
  <sheetFormatPr defaultRowHeight="14.4" x14ac:dyDescent="0.3"/>
  <cols>
    <col min="1" max="1" width="34.33203125" customWidth="1"/>
  </cols>
  <sheetData>
    <row r="2" spans="1:6" x14ac:dyDescent="0.3">
      <c r="E2" s="4" t="s">
        <v>18</v>
      </c>
      <c r="F2" s="9"/>
    </row>
    <row r="3" spans="1:6" x14ac:dyDescent="0.3">
      <c r="A3" t="s">
        <v>0</v>
      </c>
      <c r="B3">
        <v>2</v>
      </c>
      <c r="E3" s="6" t="s">
        <v>19</v>
      </c>
      <c r="F3" s="10">
        <f>(B22*B4)/B3</f>
        <v>13.760000000000002</v>
      </c>
    </row>
    <row r="4" spans="1:6" x14ac:dyDescent="0.3">
      <c r="A4" t="s">
        <v>1</v>
      </c>
      <c r="B4">
        <v>16</v>
      </c>
      <c r="E4" s="8" t="s">
        <v>20</v>
      </c>
      <c r="F4" s="11">
        <f>0.4 + (B3 * 1.71) + ((B3 -1)*0.8) + 0.4</f>
        <v>5.0200000000000005</v>
      </c>
    </row>
    <row r="5" spans="1:6" x14ac:dyDescent="0.3">
      <c r="E5" s="12"/>
      <c r="F5" s="13"/>
    </row>
    <row r="6" spans="1:6" x14ac:dyDescent="0.3">
      <c r="A6" t="s">
        <v>2</v>
      </c>
      <c r="E6" s="4" t="s">
        <v>21</v>
      </c>
      <c r="F6" s="5"/>
    </row>
    <row r="7" spans="1:6" x14ac:dyDescent="0.3">
      <c r="A7" t="s">
        <v>3</v>
      </c>
      <c r="B7">
        <v>1.6</v>
      </c>
      <c r="E7" s="6" t="s">
        <v>19</v>
      </c>
      <c r="F7" s="10">
        <f>F3</f>
        <v>13.760000000000002</v>
      </c>
    </row>
    <row r="8" spans="1:6" x14ac:dyDescent="0.3">
      <c r="A8" t="s">
        <v>4</v>
      </c>
      <c r="B8">
        <v>1.71</v>
      </c>
      <c r="E8" s="8" t="s">
        <v>20</v>
      </c>
      <c r="F8" s="11">
        <f>F4</f>
        <v>5.0200000000000005</v>
      </c>
    </row>
    <row r="9" spans="1:6" x14ac:dyDescent="0.3">
      <c r="A9" t="s">
        <v>5</v>
      </c>
      <c r="B9">
        <v>0.12</v>
      </c>
      <c r="E9" s="12"/>
      <c r="F9" s="13"/>
    </row>
    <row r="10" spans="1:6" x14ac:dyDescent="0.3">
      <c r="A10" t="s">
        <v>6</v>
      </c>
      <c r="B10">
        <v>7.0000000000000007E-2</v>
      </c>
      <c r="E10" s="4" t="s">
        <v>22</v>
      </c>
      <c r="F10" s="5"/>
    </row>
    <row r="11" spans="1:6" x14ac:dyDescent="0.3">
      <c r="A11" t="s">
        <v>7</v>
      </c>
      <c r="B11">
        <v>0.06</v>
      </c>
      <c r="E11" s="6" t="s">
        <v>19</v>
      </c>
      <c r="F11" s="10">
        <f>F7+B19</f>
        <v>14.560000000000002</v>
      </c>
    </row>
    <row r="12" spans="1:6" x14ac:dyDescent="0.3">
      <c r="A12" t="s">
        <v>8</v>
      </c>
      <c r="B12">
        <v>0.06</v>
      </c>
      <c r="E12" s="8" t="s">
        <v>20</v>
      </c>
      <c r="F12" s="11">
        <f>F4 +B19</f>
        <v>5.82</v>
      </c>
    </row>
    <row r="13" spans="1:6" x14ac:dyDescent="0.3">
      <c r="A13" t="s">
        <v>9</v>
      </c>
      <c r="B13">
        <f>B7+B11+B12</f>
        <v>1.7200000000000002</v>
      </c>
      <c r="E13" s="12"/>
      <c r="F13" s="12"/>
    </row>
    <row r="14" spans="1:6" x14ac:dyDescent="0.3">
      <c r="A14" t="s">
        <v>10</v>
      </c>
      <c r="B14">
        <f>B8+B9+B10</f>
        <v>1.9000000000000001</v>
      </c>
      <c r="E14" s="4" t="s">
        <v>23</v>
      </c>
      <c r="F14" s="9"/>
    </row>
    <row r="15" spans="1:6" x14ac:dyDescent="0.3">
      <c r="E15" s="6" t="s">
        <v>24</v>
      </c>
      <c r="F15" s="7">
        <f>B18</f>
        <v>0.4</v>
      </c>
    </row>
    <row r="16" spans="1:6" x14ac:dyDescent="0.3">
      <c r="A16" s="1" t="s">
        <v>11</v>
      </c>
      <c r="B16" s="7">
        <v>2.5000000000000001E-2</v>
      </c>
      <c r="E16" s="6" t="s">
        <v>25</v>
      </c>
      <c r="F16" s="14">
        <f>B18-B10</f>
        <v>0.33</v>
      </c>
    </row>
    <row r="17" spans="1:9" x14ac:dyDescent="0.3">
      <c r="A17" s="2" t="s">
        <v>12</v>
      </c>
      <c r="B17" s="7">
        <f>B16*8</f>
        <v>0.2</v>
      </c>
      <c r="E17" s="6" t="s">
        <v>26</v>
      </c>
      <c r="F17" s="7">
        <f>F3</f>
        <v>13.760000000000002</v>
      </c>
    </row>
    <row r="18" spans="1:9" x14ac:dyDescent="0.3">
      <c r="A18" s="2" t="s">
        <v>13</v>
      </c>
      <c r="B18" s="7">
        <f>B17*2</f>
        <v>0.4</v>
      </c>
      <c r="E18" s="8" t="s">
        <v>27</v>
      </c>
      <c r="F18" s="7">
        <f>F4</f>
        <v>5.0200000000000005</v>
      </c>
    </row>
    <row r="19" spans="1:9" x14ac:dyDescent="0.3">
      <c r="A19" s="3" t="s">
        <v>14</v>
      </c>
      <c r="B19" s="7">
        <f>B18*2</f>
        <v>0.8</v>
      </c>
    </row>
    <row r="21" spans="1:9" x14ac:dyDescent="0.3">
      <c r="A21" s="4" t="s">
        <v>15</v>
      </c>
      <c r="B21" s="5"/>
      <c r="E21" s="4" t="s">
        <v>28</v>
      </c>
      <c r="F21" s="15"/>
      <c r="G21" s="15"/>
      <c r="H21" s="15"/>
      <c r="I21" s="9"/>
    </row>
    <row r="22" spans="1:9" x14ac:dyDescent="0.3">
      <c r="A22" s="6" t="s">
        <v>16</v>
      </c>
      <c r="B22" s="7">
        <f>B13</f>
        <v>1.7200000000000002</v>
      </c>
      <c r="E22" s="16"/>
      <c r="F22" s="12" t="s">
        <v>29</v>
      </c>
      <c r="G22" s="12" t="s">
        <v>30</v>
      </c>
      <c r="H22" s="7">
        <v>0</v>
      </c>
      <c r="I22" s="7">
        <v>0</v>
      </c>
    </row>
    <row r="23" spans="1:9" x14ac:dyDescent="0.3">
      <c r="A23" s="8" t="s">
        <v>17</v>
      </c>
      <c r="B23" s="7">
        <f>B14</f>
        <v>1.9000000000000001</v>
      </c>
      <c r="E23" s="16"/>
      <c r="F23" s="12" t="s">
        <v>31</v>
      </c>
      <c r="G23" s="12" t="s">
        <v>32</v>
      </c>
      <c r="H23" s="7">
        <f>H22</f>
        <v>0</v>
      </c>
      <c r="I23" s="7">
        <f>F12</f>
        <v>5.82</v>
      </c>
    </row>
    <row r="24" spans="1:9" x14ac:dyDescent="0.3">
      <c r="E24" s="16"/>
      <c r="F24" s="12" t="s">
        <v>33</v>
      </c>
      <c r="G24" s="12" t="s">
        <v>34</v>
      </c>
      <c r="H24" s="7">
        <f>F11</f>
        <v>14.560000000000002</v>
      </c>
      <c r="I24" s="7">
        <f>F12</f>
        <v>5.82</v>
      </c>
    </row>
    <row r="25" spans="1:9" x14ac:dyDescent="0.3">
      <c r="E25" s="17"/>
      <c r="F25" s="18" t="s">
        <v>35</v>
      </c>
      <c r="G25" s="18" t="s">
        <v>36</v>
      </c>
      <c r="H25" s="7">
        <f>F11</f>
        <v>14.560000000000002</v>
      </c>
      <c r="I25" s="7">
        <f>I22</f>
        <v>0</v>
      </c>
    </row>
    <row r="27" spans="1:9" x14ac:dyDescent="0.3">
      <c r="E27" s="19" t="s">
        <v>37</v>
      </c>
      <c r="F27">
        <f>F11*F12</f>
        <v>84.739200000000011</v>
      </c>
    </row>
    <row r="28" spans="1:9" x14ac:dyDescent="0.3">
      <c r="E28" s="19" t="s">
        <v>38</v>
      </c>
      <c r="F28">
        <f>F17*F18</f>
        <v>69.075200000000009</v>
      </c>
    </row>
    <row r="29" spans="1:9" x14ac:dyDescent="0.3">
      <c r="E29" s="19" t="s">
        <v>39</v>
      </c>
      <c r="F29" s="20">
        <f>F28/F27</f>
        <v>0.81515048525357803</v>
      </c>
    </row>
    <row r="31" spans="1:9" x14ac:dyDescent="0.3">
      <c r="E31" s="19" t="s">
        <v>40</v>
      </c>
      <c r="F31">
        <f>F7*F8</f>
        <v>69.075200000000009</v>
      </c>
    </row>
    <row r="32" spans="1:9" x14ac:dyDescent="0.3">
      <c r="E32" s="19" t="s">
        <v>41</v>
      </c>
      <c r="F32">
        <f>F3*F4</f>
        <v>69.075200000000009</v>
      </c>
    </row>
    <row r="33" spans="5:6" x14ac:dyDescent="0.3">
      <c r="E33" s="19" t="s">
        <v>42</v>
      </c>
      <c r="F33" s="20">
        <f>(F32/F31)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B8FD-9329-4C06-B89B-C81A03F5D471}">
  <dimension ref="A2:I69"/>
  <sheetViews>
    <sheetView topLeftCell="A34" zoomScale="66" zoomScaleNormal="66" workbookViewId="0">
      <selection activeCell="B56" sqref="B56"/>
    </sheetView>
  </sheetViews>
  <sheetFormatPr defaultRowHeight="14.4" x14ac:dyDescent="0.3"/>
  <cols>
    <col min="1" max="1" width="34.33203125" customWidth="1"/>
  </cols>
  <sheetData>
    <row r="2" spans="1:6" x14ac:dyDescent="0.3">
      <c r="A2" t="s">
        <v>56</v>
      </c>
      <c r="B2">
        <f>ADD!B4</f>
        <v>8</v>
      </c>
      <c r="E2" s="4" t="s">
        <v>18</v>
      </c>
      <c r="F2" s="9"/>
    </row>
    <row r="3" spans="1:6" x14ac:dyDescent="0.3">
      <c r="E3" s="6" t="s">
        <v>19</v>
      </c>
      <c r="F3" s="10">
        <f xml:space="preserve"> B11+B25+B39+B44*B53</f>
        <v>102.45</v>
      </c>
    </row>
    <row r="4" spans="1:6" x14ac:dyDescent="0.3">
      <c r="A4" t="s">
        <v>2</v>
      </c>
      <c r="E4" s="8" t="s">
        <v>20</v>
      </c>
      <c r="F4" s="11">
        <f>0.4 + (B56 * 1.71) + ((B56 -1)*0.8) + 0.4</f>
        <v>30.119999999999997</v>
      </c>
    </row>
    <row r="5" spans="1:6" x14ac:dyDescent="0.3">
      <c r="A5" t="s">
        <v>3</v>
      </c>
      <c r="B5">
        <f>ADD!F3</f>
        <v>22.879999999999995</v>
      </c>
      <c r="E5" s="12"/>
      <c r="F5" s="13"/>
    </row>
    <row r="6" spans="1:6" x14ac:dyDescent="0.3">
      <c r="A6" t="s">
        <v>4</v>
      </c>
      <c r="B6">
        <f>ADD!F4</f>
        <v>5.0200000000000005</v>
      </c>
      <c r="E6" s="4" t="s">
        <v>21</v>
      </c>
      <c r="F6" s="5"/>
    </row>
    <row r="7" spans="1:6" x14ac:dyDescent="0.3">
      <c r="A7" t="s">
        <v>5</v>
      </c>
      <c r="B7">
        <v>0.12</v>
      </c>
      <c r="E7" s="6" t="s">
        <v>19</v>
      </c>
      <c r="F7" s="10">
        <f>F3</f>
        <v>102.45</v>
      </c>
    </row>
    <row r="8" spans="1:6" x14ac:dyDescent="0.3">
      <c r="A8" t="s">
        <v>6</v>
      </c>
      <c r="B8">
        <v>7.0000000000000007E-2</v>
      </c>
      <c r="E8" s="8" t="s">
        <v>20</v>
      </c>
      <c r="F8" s="11">
        <f>F4</f>
        <v>30.119999999999997</v>
      </c>
    </row>
    <row r="9" spans="1:6" x14ac:dyDescent="0.3">
      <c r="A9" t="s">
        <v>7</v>
      </c>
      <c r="B9">
        <v>0.06</v>
      </c>
      <c r="E9" s="12"/>
      <c r="F9" s="13"/>
    </row>
    <row r="10" spans="1:6" x14ac:dyDescent="0.3">
      <c r="A10" t="s">
        <v>8</v>
      </c>
      <c r="B10">
        <v>0.06</v>
      </c>
      <c r="E10" s="4" t="s">
        <v>22</v>
      </c>
      <c r="F10" s="5"/>
    </row>
    <row r="11" spans="1:6" x14ac:dyDescent="0.3">
      <c r="A11" t="s">
        <v>9</v>
      </c>
      <c r="B11">
        <f>B5+B9+B10</f>
        <v>22.999999999999993</v>
      </c>
      <c r="E11" s="6" t="s">
        <v>19</v>
      </c>
      <c r="F11" s="10">
        <f>F7+B68</f>
        <v>103.25</v>
      </c>
    </row>
    <row r="12" spans="1:6" x14ac:dyDescent="0.3">
      <c r="A12" t="s">
        <v>10</v>
      </c>
      <c r="B12">
        <f>B6+B7+B8</f>
        <v>5.2100000000000009</v>
      </c>
      <c r="E12" s="8" t="s">
        <v>20</v>
      </c>
      <c r="F12" s="11">
        <f>F4 + B68</f>
        <v>30.919999999999998</v>
      </c>
    </row>
    <row r="13" spans="1:6" x14ac:dyDescent="0.3">
      <c r="E13" s="12"/>
      <c r="F13" s="12"/>
    </row>
    <row r="14" spans="1:6" x14ac:dyDescent="0.3">
      <c r="E14" s="4" t="s">
        <v>23</v>
      </c>
      <c r="F14" s="9"/>
    </row>
    <row r="15" spans="1:6" x14ac:dyDescent="0.3">
      <c r="E15" s="6" t="s">
        <v>24</v>
      </c>
      <c r="F15" s="7">
        <f>B67</f>
        <v>0.4</v>
      </c>
    </row>
    <row r="16" spans="1:6" x14ac:dyDescent="0.3">
      <c r="A16" t="s">
        <v>57</v>
      </c>
      <c r="B16">
        <f>MULT!B59</f>
        <v>209</v>
      </c>
      <c r="E16" s="6" t="s">
        <v>25</v>
      </c>
      <c r="F16" s="14">
        <f>B67- MAX(B8,B22,B36)</f>
        <v>0.33</v>
      </c>
    </row>
    <row r="17" spans="1:9" x14ac:dyDescent="0.3">
      <c r="E17" s="6" t="s">
        <v>26</v>
      </c>
      <c r="F17" s="7">
        <f>F3</f>
        <v>102.45</v>
      </c>
    </row>
    <row r="18" spans="1:9" x14ac:dyDescent="0.3">
      <c r="A18" t="s">
        <v>2</v>
      </c>
      <c r="E18" s="8" t="s">
        <v>27</v>
      </c>
      <c r="F18" s="7">
        <f>F4</f>
        <v>30.119999999999997</v>
      </c>
    </row>
    <row r="19" spans="1:9" x14ac:dyDescent="0.3">
      <c r="A19" t="s">
        <v>3</v>
      </c>
      <c r="B19">
        <f>MULT!F3</f>
        <v>60.41</v>
      </c>
    </row>
    <row r="20" spans="1:9" x14ac:dyDescent="0.3">
      <c r="A20" t="s">
        <v>4</v>
      </c>
      <c r="B20">
        <f>MULT!F4</f>
        <v>20.079999999999998</v>
      </c>
    </row>
    <row r="21" spans="1:9" x14ac:dyDescent="0.3">
      <c r="A21" t="s">
        <v>5</v>
      </c>
      <c r="B21">
        <v>0.12</v>
      </c>
      <c r="E21" s="4" t="s">
        <v>28</v>
      </c>
      <c r="F21" s="15"/>
      <c r="G21" s="15"/>
      <c r="H21" s="15"/>
      <c r="I21" s="9"/>
    </row>
    <row r="22" spans="1:9" x14ac:dyDescent="0.3">
      <c r="A22" t="s">
        <v>6</v>
      </c>
      <c r="B22">
        <v>7.0000000000000007E-2</v>
      </c>
      <c r="E22" s="16"/>
      <c r="F22" s="12" t="s">
        <v>29</v>
      </c>
      <c r="G22" s="12" t="s">
        <v>30</v>
      </c>
      <c r="H22" s="7">
        <v>0</v>
      </c>
      <c r="I22" s="7">
        <v>0</v>
      </c>
    </row>
    <row r="23" spans="1:9" x14ac:dyDescent="0.3">
      <c r="A23" t="s">
        <v>7</v>
      </c>
      <c r="B23">
        <v>0.06</v>
      </c>
      <c r="E23" s="16"/>
      <c r="F23" s="12" t="s">
        <v>31</v>
      </c>
      <c r="G23" s="12" t="s">
        <v>32</v>
      </c>
      <c r="H23" s="7">
        <f>H22</f>
        <v>0</v>
      </c>
      <c r="I23" s="7">
        <f>F12</f>
        <v>30.919999999999998</v>
      </c>
    </row>
    <row r="24" spans="1:9" x14ac:dyDescent="0.3">
      <c r="A24" t="s">
        <v>8</v>
      </c>
      <c r="B24">
        <v>0.06</v>
      </c>
      <c r="E24" s="16"/>
      <c r="F24" s="12" t="s">
        <v>33</v>
      </c>
      <c r="G24" s="12" t="s">
        <v>34</v>
      </c>
      <c r="H24" s="7">
        <f>F11</f>
        <v>103.25</v>
      </c>
      <c r="I24" s="7">
        <f>F12</f>
        <v>30.919999999999998</v>
      </c>
    </row>
    <row r="25" spans="1:9" x14ac:dyDescent="0.3">
      <c r="A25" t="s">
        <v>9</v>
      </c>
      <c r="B25">
        <f>B19+B23+B24</f>
        <v>60.53</v>
      </c>
      <c r="E25" s="17"/>
      <c r="F25" s="18" t="s">
        <v>35</v>
      </c>
      <c r="G25" s="18" t="s">
        <v>36</v>
      </c>
      <c r="H25" s="7">
        <f>F11</f>
        <v>103.25</v>
      </c>
      <c r="I25" s="7">
        <f>I22</f>
        <v>0</v>
      </c>
    </row>
    <row r="26" spans="1:9" x14ac:dyDescent="0.3">
      <c r="A26" t="s">
        <v>10</v>
      </c>
      <c r="B26">
        <f>B20+B21+B22</f>
        <v>20.27</v>
      </c>
    </row>
    <row r="27" spans="1:9" x14ac:dyDescent="0.3">
      <c r="E27" s="19" t="s">
        <v>37</v>
      </c>
      <c r="F27">
        <f>F11*F12</f>
        <v>3192.49</v>
      </c>
    </row>
    <row r="28" spans="1:9" x14ac:dyDescent="0.3">
      <c r="E28" s="19" t="s">
        <v>38</v>
      </c>
      <c r="F28">
        <f>F17*F18</f>
        <v>3085.7939999999999</v>
      </c>
    </row>
    <row r="29" spans="1:9" x14ac:dyDescent="0.3">
      <c r="E29" s="19" t="s">
        <v>39</v>
      </c>
      <c r="F29" s="20">
        <f>F28/F27</f>
        <v>0.96657906524374393</v>
      </c>
    </row>
    <row r="30" spans="1:9" x14ac:dyDescent="0.3">
      <c r="A30" t="s">
        <v>58</v>
      </c>
      <c r="B30">
        <f>MUX!B4</f>
        <v>16</v>
      </c>
    </row>
    <row r="31" spans="1:9" x14ac:dyDescent="0.3">
      <c r="E31" s="19" t="s">
        <v>40</v>
      </c>
      <c r="F31">
        <f>F7*F8</f>
        <v>3085.7939999999999</v>
      </c>
    </row>
    <row r="32" spans="1:9" x14ac:dyDescent="0.3">
      <c r="A32" t="s">
        <v>2</v>
      </c>
      <c r="E32" s="19" t="s">
        <v>41</v>
      </c>
      <c r="F32">
        <f>F3*F4</f>
        <v>3085.7939999999999</v>
      </c>
    </row>
    <row r="33" spans="1:6" x14ac:dyDescent="0.3">
      <c r="A33" t="s">
        <v>3</v>
      </c>
      <c r="B33">
        <f>MUX!F3</f>
        <v>13.760000000000002</v>
      </c>
      <c r="E33" s="19" t="s">
        <v>42</v>
      </c>
      <c r="F33" s="20">
        <f>(F32/F31)</f>
        <v>1</v>
      </c>
    </row>
    <row r="34" spans="1:6" x14ac:dyDescent="0.3">
      <c r="A34" t="s">
        <v>4</v>
      </c>
      <c r="B34">
        <f>MUX!F4</f>
        <v>5.0200000000000005</v>
      </c>
    </row>
    <row r="35" spans="1:6" x14ac:dyDescent="0.3">
      <c r="A35" t="s">
        <v>5</v>
      </c>
      <c r="B35">
        <v>0.12</v>
      </c>
    </row>
    <row r="36" spans="1:6" x14ac:dyDescent="0.3">
      <c r="A36" t="s">
        <v>6</v>
      </c>
      <c r="B36">
        <v>7.0000000000000007E-2</v>
      </c>
    </row>
    <row r="37" spans="1:6" x14ac:dyDescent="0.3">
      <c r="A37" t="s">
        <v>7</v>
      </c>
      <c r="B37">
        <v>0.06</v>
      </c>
    </row>
    <row r="38" spans="1:6" x14ac:dyDescent="0.3">
      <c r="A38" t="s">
        <v>8</v>
      </c>
      <c r="B38">
        <v>0.06</v>
      </c>
    </row>
    <row r="39" spans="1:6" x14ac:dyDescent="0.3">
      <c r="A39" t="s">
        <v>9</v>
      </c>
      <c r="B39">
        <f>B33+B37+B38</f>
        <v>13.880000000000003</v>
      </c>
    </row>
    <row r="40" spans="1:6" x14ac:dyDescent="0.3">
      <c r="A40" t="s">
        <v>10</v>
      </c>
      <c r="B40">
        <f>B34+B35+B36</f>
        <v>5.2100000000000009</v>
      </c>
    </row>
    <row r="44" spans="1:6" x14ac:dyDescent="0.3">
      <c r="A44" t="s">
        <v>46</v>
      </c>
      <c r="B44">
        <v>7</v>
      </c>
    </row>
    <row r="46" spans="1:6" x14ac:dyDescent="0.3">
      <c r="A46" t="s">
        <v>2</v>
      </c>
    </row>
    <row r="47" spans="1:6" x14ac:dyDescent="0.3">
      <c r="A47" t="s">
        <v>3</v>
      </c>
      <c r="B47">
        <v>0.6</v>
      </c>
    </row>
    <row r="48" spans="1:6" x14ac:dyDescent="0.3">
      <c r="A48" t="s">
        <v>4</v>
      </c>
      <c r="B48">
        <v>1.71</v>
      </c>
    </row>
    <row r="49" spans="1:2" x14ac:dyDescent="0.3">
      <c r="A49" t="s">
        <v>5</v>
      </c>
      <c r="B49">
        <v>0.12</v>
      </c>
    </row>
    <row r="50" spans="1:2" x14ac:dyDescent="0.3">
      <c r="A50" t="s">
        <v>6</v>
      </c>
      <c r="B50">
        <v>7.0000000000000007E-2</v>
      </c>
    </row>
    <row r="51" spans="1:2" x14ac:dyDescent="0.3">
      <c r="A51" t="s">
        <v>7</v>
      </c>
      <c r="B51">
        <v>0.06</v>
      </c>
    </row>
    <row r="52" spans="1:2" x14ac:dyDescent="0.3">
      <c r="A52" t="s">
        <v>8</v>
      </c>
      <c r="B52">
        <v>0.06</v>
      </c>
    </row>
    <row r="53" spans="1:2" x14ac:dyDescent="0.3">
      <c r="A53" t="s">
        <v>9</v>
      </c>
      <c r="B53">
        <f>B47+B51+B52</f>
        <v>0.72</v>
      </c>
    </row>
    <row r="54" spans="1:2" x14ac:dyDescent="0.3">
      <c r="A54" t="s">
        <v>10</v>
      </c>
      <c r="B54">
        <f>B48+B49+B50</f>
        <v>1.9000000000000001</v>
      </c>
    </row>
    <row r="56" spans="1:2" x14ac:dyDescent="0.3">
      <c r="A56" t="s">
        <v>0</v>
      </c>
      <c r="B56">
        <f>ADD!B3 + MULT!B58 +MUX!B3</f>
        <v>12</v>
      </c>
    </row>
    <row r="57" spans="1:2" x14ac:dyDescent="0.3">
      <c r="A57" t="s">
        <v>47</v>
      </c>
      <c r="B57" s="25">
        <f>B2+B16+B30+B44</f>
        <v>240</v>
      </c>
    </row>
    <row r="64" spans="1:2" x14ac:dyDescent="0.3">
      <c r="A64" s="23"/>
      <c r="B64" s="7"/>
    </row>
    <row r="65" spans="1:2" x14ac:dyDescent="0.3">
      <c r="A65" s="24" t="s">
        <v>53</v>
      </c>
      <c r="B65" s="7">
        <v>2.5000000000000001E-2</v>
      </c>
    </row>
    <row r="66" spans="1:2" x14ac:dyDescent="0.3">
      <c r="A66" s="2" t="s">
        <v>54</v>
      </c>
      <c r="B66" s="7">
        <f>B65*8</f>
        <v>0.2</v>
      </c>
    </row>
    <row r="67" spans="1:2" x14ac:dyDescent="0.3">
      <c r="A67" s="2" t="s">
        <v>13</v>
      </c>
      <c r="B67" s="7">
        <f>B66*2</f>
        <v>0.4</v>
      </c>
    </row>
    <row r="68" spans="1:2" x14ac:dyDescent="0.3">
      <c r="A68" s="3" t="s">
        <v>14</v>
      </c>
      <c r="B68" s="7">
        <f>B67*2</f>
        <v>0.8</v>
      </c>
    </row>
    <row r="69" spans="1:2" x14ac:dyDescent="0.3">
      <c r="A69" s="23"/>
      <c r="B6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7CC5-F58E-4019-9E0A-BD7997C57001}">
  <dimension ref="A1:I83"/>
  <sheetViews>
    <sheetView zoomScale="63" zoomScaleNormal="63" workbookViewId="0">
      <selection activeCell="F15" sqref="F15"/>
    </sheetView>
  </sheetViews>
  <sheetFormatPr defaultRowHeight="14.4" x14ac:dyDescent="0.3"/>
  <cols>
    <col min="1" max="1" width="34.33203125" customWidth="1"/>
  </cols>
  <sheetData>
    <row r="1" spans="1:6" x14ac:dyDescent="0.3">
      <c r="A1" cm="1">
        <f t="array" aca="1" ref="A1" ca="1">1:69</f>
        <v>0</v>
      </c>
    </row>
    <row r="2" spans="1:6" x14ac:dyDescent="0.3">
      <c r="E2" s="4" t="s">
        <v>18</v>
      </c>
      <c r="F2" s="9"/>
    </row>
    <row r="3" spans="1:6" x14ac:dyDescent="0.3">
      <c r="E3" s="6" t="s">
        <v>19</v>
      </c>
      <c r="F3" s="10">
        <f xml:space="preserve"> (B4 *B13 +B18 * B27 +B32 *B41 +B46 *B55)/B58</f>
        <v>60.41</v>
      </c>
    </row>
    <row r="4" spans="1:6" x14ac:dyDescent="0.3">
      <c r="A4" t="s">
        <v>43</v>
      </c>
      <c r="B4">
        <v>64</v>
      </c>
      <c r="E4" s="8" t="s">
        <v>20</v>
      </c>
      <c r="F4" s="11">
        <f>0.4 + (B58 * 1.71) + ((B58 -1)*0.8) + 0.4</f>
        <v>20.079999999999998</v>
      </c>
    </row>
    <row r="5" spans="1:6" x14ac:dyDescent="0.3">
      <c r="E5" s="12"/>
      <c r="F5" s="13"/>
    </row>
    <row r="6" spans="1:6" x14ac:dyDescent="0.3">
      <c r="A6" t="s">
        <v>2</v>
      </c>
      <c r="E6" s="4" t="s">
        <v>21</v>
      </c>
      <c r="F6" s="5"/>
    </row>
    <row r="7" spans="1:6" x14ac:dyDescent="0.3">
      <c r="A7" t="s">
        <v>3</v>
      </c>
      <c r="B7">
        <v>5.6</v>
      </c>
      <c r="E7" s="6" t="s">
        <v>19</v>
      </c>
      <c r="F7" s="10">
        <f>F3</f>
        <v>60.41</v>
      </c>
    </row>
    <row r="8" spans="1:6" x14ac:dyDescent="0.3">
      <c r="A8" t="s">
        <v>4</v>
      </c>
      <c r="B8">
        <v>1.71</v>
      </c>
      <c r="E8" s="8" t="s">
        <v>20</v>
      </c>
      <c r="F8" s="11">
        <f>F4</f>
        <v>20.079999999999998</v>
      </c>
    </row>
    <row r="9" spans="1:6" x14ac:dyDescent="0.3">
      <c r="A9" t="s">
        <v>5</v>
      </c>
      <c r="B9">
        <v>0.12</v>
      </c>
      <c r="E9" s="12"/>
      <c r="F9" s="13"/>
    </row>
    <row r="10" spans="1:6" x14ac:dyDescent="0.3">
      <c r="A10" t="s">
        <v>6</v>
      </c>
      <c r="B10">
        <v>7.0000000000000007E-2</v>
      </c>
      <c r="E10" s="4" t="s">
        <v>22</v>
      </c>
      <c r="F10" s="5"/>
    </row>
    <row r="11" spans="1:6" x14ac:dyDescent="0.3">
      <c r="A11" t="s">
        <v>7</v>
      </c>
      <c r="B11">
        <v>0.06</v>
      </c>
      <c r="E11" s="6" t="s">
        <v>19</v>
      </c>
      <c r="F11" s="10">
        <f>F7+B78</f>
        <v>61.209999999999994</v>
      </c>
    </row>
    <row r="12" spans="1:6" x14ac:dyDescent="0.3">
      <c r="A12" t="s">
        <v>8</v>
      </c>
      <c r="B12">
        <v>0.06</v>
      </c>
      <c r="E12" s="8" t="s">
        <v>20</v>
      </c>
      <c r="F12" s="11">
        <f>F4 + B78</f>
        <v>20.88</v>
      </c>
    </row>
    <row r="13" spans="1:6" x14ac:dyDescent="0.3">
      <c r="A13" t="s">
        <v>9</v>
      </c>
      <c r="B13">
        <v>5.72</v>
      </c>
      <c r="E13" s="12"/>
      <c r="F13" s="12"/>
    </row>
    <row r="14" spans="1:6" x14ac:dyDescent="0.3">
      <c r="A14" t="s">
        <v>10</v>
      </c>
      <c r="B14">
        <v>1.9</v>
      </c>
      <c r="E14" s="4" t="s">
        <v>23</v>
      </c>
      <c r="F14" s="9"/>
    </row>
    <row r="15" spans="1:6" x14ac:dyDescent="0.3">
      <c r="E15" s="6" t="s">
        <v>24</v>
      </c>
      <c r="F15" s="7">
        <f>B77</f>
        <v>0.4</v>
      </c>
    </row>
    <row r="16" spans="1:6" x14ac:dyDescent="0.3">
      <c r="E16" s="6" t="s">
        <v>25</v>
      </c>
      <c r="F16" s="14">
        <f>B77- MAX(B10,B24,B38)</f>
        <v>0.33</v>
      </c>
    </row>
    <row r="17" spans="1:9" x14ac:dyDescent="0.3">
      <c r="E17" s="6" t="s">
        <v>26</v>
      </c>
      <c r="F17" s="7">
        <f>F3</f>
        <v>60.41</v>
      </c>
    </row>
    <row r="18" spans="1:9" x14ac:dyDescent="0.3">
      <c r="A18" t="s">
        <v>44</v>
      </c>
      <c r="B18">
        <v>64</v>
      </c>
      <c r="E18" s="8" t="s">
        <v>27</v>
      </c>
      <c r="F18" s="7">
        <f>F4</f>
        <v>20.079999999999998</v>
      </c>
    </row>
    <row r="20" spans="1:9" x14ac:dyDescent="0.3">
      <c r="A20" t="s">
        <v>2</v>
      </c>
    </row>
    <row r="21" spans="1:9" x14ac:dyDescent="0.3">
      <c r="A21" t="s">
        <v>3</v>
      </c>
      <c r="B21">
        <v>0.8</v>
      </c>
      <c r="E21" s="4" t="s">
        <v>28</v>
      </c>
      <c r="F21" s="15"/>
      <c r="G21" s="15"/>
      <c r="H21" s="15"/>
      <c r="I21" s="9"/>
    </row>
    <row r="22" spans="1:9" x14ac:dyDescent="0.3">
      <c r="A22" t="s">
        <v>4</v>
      </c>
      <c r="B22">
        <v>1.71</v>
      </c>
      <c r="E22" s="16"/>
      <c r="F22" s="12" t="s">
        <v>29</v>
      </c>
      <c r="G22" s="12" t="s">
        <v>30</v>
      </c>
      <c r="H22" s="7">
        <v>0</v>
      </c>
      <c r="I22" s="7">
        <v>0</v>
      </c>
    </row>
    <row r="23" spans="1:9" x14ac:dyDescent="0.3">
      <c r="A23" t="s">
        <v>5</v>
      </c>
      <c r="B23">
        <v>0.12</v>
      </c>
      <c r="E23" s="16"/>
      <c r="F23" s="12" t="s">
        <v>31</v>
      </c>
      <c r="G23" s="12" t="s">
        <v>32</v>
      </c>
      <c r="H23" s="7">
        <f>H22</f>
        <v>0</v>
      </c>
      <c r="I23" s="7">
        <f>F12</f>
        <v>20.88</v>
      </c>
    </row>
    <row r="24" spans="1:9" x14ac:dyDescent="0.3">
      <c r="A24" t="s">
        <v>6</v>
      </c>
      <c r="B24">
        <v>7.0000000000000007E-2</v>
      </c>
      <c r="E24" s="16"/>
      <c r="F24" s="12" t="s">
        <v>33</v>
      </c>
      <c r="G24" s="12" t="s">
        <v>34</v>
      </c>
      <c r="H24" s="7">
        <f>F11</f>
        <v>61.209999999999994</v>
      </c>
      <c r="I24" s="7">
        <f>F12</f>
        <v>20.88</v>
      </c>
    </row>
    <row r="25" spans="1:9" x14ac:dyDescent="0.3">
      <c r="A25" t="s">
        <v>7</v>
      </c>
      <c r="B25">
        <v>0.06</v>
      </c>
      <c r="E25" s="17"/>
      <c r="F25" s="18" t="s">
        <v>35</v>
      </c>
      <c r="G25" s="18" t="s">
        <v>36</v>
      </c>
      <c r="H25" s="7">
        <f>F11</f>
        <v>61.209999999999994</v>
      </c>
      <c r="I25" s="7">
        <f>I22</f>
        <v>0</v>
      </c>
    </row>
    <row r="26" spans="1:9" x14ac:dyDescent="0.3">
      <c r="A26" t="s">
        <v>8</v>
      </c>
      <c r="B26">
        <v>0.06</v>
      </c>
    </row>
    <row r="27" spans="1:9" x14ac:dyDescent="0.3">
      <c r="A27" t="s">
        <v>9</v>
      </c>
      <c r="B27">
        <v>0.92</v>
      </c>
      <c r="E27" s="19" t="s">
        <v>37</v>
      </c>
      <c r="F27">
        <f>F11*F12</f>
        <v>1278.0647999999999</v>
      </c>
    </row>
    <row r="28" spans="1:9" x14ac:dyDescent="0.3">
      <c r="A28" t="s">
        <v>10</v>
      </c>
      <c r="B28">
        <v>1.9</v>
      </c>
      <c r="E28" s="19" t="s">
        <v>38</v>
      </c>
      <c r="F28">
        <f>F17*F18</f>
        <v>1213.0327999999997</v>
      </c>
    </row>
    <row r="29" spans="1:9" x14ac:dyDescent="0.3">
      <c r="E29" s="19" t="s">
        <v>39</v>
      </c>
      <c r="F29" s="20">
        <f>F28/F27</f>
        <v>0.94911682099373984</v>
      </c>
    </row>
    <row r="31" spans="1:9" x14ac:dyDescent="0.3">
      <c r="E31" s="19" t="s">
        <v>40</v>
      </c>
      <c r="F31">
        <f>F7*F8</f>
        <v>1213.0327999999997</v>
      </c>
    </row>
    <row r="32" spans="1:9" x14ac:dyDescent="0.3">
      <c r="A32" t="s">
        <v>45</v>
      </c>
      <c r="B32">
        <v>64</v>
      </c>
      <c r="E32" s="19" t="s">
        <v>41</v>
      </c>
      <c r="F32">
        <f>F3*F4</f>
        <v>1213.0327999999997</v>
      </c>
    </row>
    <row r="33" spans="1:6" x14ac:dyDescent="0.3">
      <c r="E33" s="19" t="s">
        <v>42</v>
      </c>
      <c r="F33" s="20">
        <f>(F32/F31)</f>
        <v>1</v>
      </c>
    </row>
    <row r="34" spans="1:6" x14ac:dyDescent="0.3">
      <c r="A34" t="s">
        <v>2</v>
      </c>
    </row>
    <row r="35" spans="1:6" x14ac:dyDescent="0.3">
      <c r="A35" t="s">
        <v>3</v>
      </c>
      <c r="B35">
        <v>0.6</v>
      </c>
    </row>
    <row r="36" spans="1:6" x14ac:dyDescent="0.3">
      <c r="A36" t="s">
        <v>4</v>
      </c>
      <c r="B36">
        <v>1.71</v>
      </c>
    </row>
    <row r="37" spans="1:6" x14ac:dyDescent="0.3">
      <c r="A37" t="s">
        <v>5</v>
      </c>
      <c r="B37">
        <v>0.12</v>
      </c>
    </row>
    <row r="38" spans="1:6" x14ac:dyDescent="0.3">
      <c r="A38" t="s">
        <v>6</v>
      </c>
      <c r="B38">
        <v>7.0000000000000007E-2</v>
      </c>
    </row>
    <row r="39" spans="1:6" x14ac:dyDescent="0.3">
      <c r="A39" t="s">
        <v>7</v>
      </c>
      <c r="B39">
        <v>0.06</v>
      </c>
    </row>
    <row r="40" spans="1:6" x14ac:dyDescent="0.3">
      <c r="A40" t="s">
        <v>8</v>
      </c>
      <c r="B40">
        <v>0.06</v>
      </c>
    </row>
    <row r="41" spans="1:6" x14ac:dyDescent="0.3">
      <c r="A41" t="s">
        <v>9</v>
      </c>
      <c r="B41">
        <v>0.72</v>
      </c>
    </row>
    <row r="42" spans="1:6" x14ac:dyDescent="0.3">
      <c r="A42" t="s">
        <v>10</v>
      </c>
      <c r="B42">
        <v>1.9</v>
      </c>
    </row>
    <row r="46" spans="1:6" x14ac:dyDescent="0.3">
      <c r="A46" t="s">
        <v>46</v>
      </c>
      <c r="B46">
        <v>17</v>
      </c>
    </row>
    <row r="48" spans="1:6" x14ac:dyDescent="0.3">
      <c r="A48" t="s">
        <v>2</v>
      </c>
    </row>
    <row r="49" spans="1:2" x14ac:dyDescent="0.3">
      <c r="A49" t="s">
        <v>3</v>
      </c>
      <c r="B49">
        <v>0.6</v>
      </c>
    </row>
    <row r="50" spans="1:2" x14ac:dyDescent="0.3">
      <c r="A50" t="s">
        <v>4</v>
      </c>
      <c r="B50">
        <v>1.71</v>
      </c>
    </row>
    <row r="51" spans="1:2" x14ac:dyDescent="0.3">
      <c r="A51" t="s">
        <v>5</v>
      </c>
      <c r="B51">
        <v>0.12</v>
      </c>
    </row>
    <row r="52" spans="1:2" x14ac:dyDescent="0.3">
      <c r="A52" t="s">
        <v>6</v>
      </c>
      <c r="B52">
        <v>7.0000000000000007E-2</v>
      </c>
    </row>
    <row r="53" spans="1:2" x14ac:dyDescent="0.3">
      <c r="A53" t="s">
        <v>7</v>
      </c>
      <c r="B53">
        <v>0.06</v>
      </c>
    </row>
    <row r="54" spans="1:2" x14ac:dyDescent="0.3">
      <c r="A54" t="s">
        <v>8</v>
      </c>
      <c r="B54">
        <v>0.06</v>
      </c>
    </row>
    <row r="55" spans="1:2" x14ac:dyDescent="0.3">
      <c r="A55" t="s">
        <v>9</v>
      </c>
      <c r="B55">
        <v>0.72</v>
      </c>
    </row>
    <row r="56" spans="1:2" x14ac:dyDescent="0.3">
      <c r="A56" t="s">
        <v>10</v>
      </c>
      <c r="B56">
        <v>1.9</v>
      </c>
    </row>
    <row r="58" spans="1:2" x14ac:dyDescent="0.3">
      <c r="A58" t="s">
        <v>0</v>
      </c>
      <c r="B58">
        <v>8</v>
      </c>
    </row>
    <row r="59" spans="1:2" x14ac:dyDescent="0.3">
      <c r="A59" t="s">
        <v>47</v>
      </c>
      <c r="B59">
        <f>B4 +B18 +B32 +B46</f>
        <v>209</v>
      </c>
    </row>
    <row r="61" spans="1:2" x14ac:dyDescent="0.3">
      <c r="A61" s="21" t="s">
        <v>48</v>
      </c>
      <c r="B61" s="22"/>
    </row>
    <row r="62" spans="1:2" x14ac:dyDescent="0.3">
      <c r="A62" s="22" t="s">
        <v>49</v>
      </c>
      <c r="B62" s="22">
        <v>8</v>
      </c>
    </row>
    <row r="63" spans="1:2" x14ac:dyDescent="0.3">
      <c r="A63" s="22" t="s">
        <v>50</v>
      </c>
      <c r="B63" s="22">
        <f xml:space="preserve"> B62*(B27+B41)</f>
        <v>13.120000000000001</v>
      </c>
    </row>
    <row r="64" spans="1:2" x14ac:dyDescent="0.3">
      <c r="A64" s="22"/>
      <c r="B64" s="22"/>
    </row>
    <row r="65" spans="1:2" x14ac:dyDescent="0.3">
      <c r="A65" s="22"/>
      <c r="B65" s="22"/>
    </row>
    <row r="66" spans="1:2" x14ac:dyDescent="0.3">
      <c r="A66" s="21" t="s">
        <v>51</v>
      </c>
      <c r="B66" s="22"/>
    </row>
    <row r="67" spans="1:2" x14ac:dyDescent="0.3">
      <c r="A67" s="22" t="s">
        <v>52</v>
      </c>
      <c r="B67" s="22">
        <v>8</v>
      </c>
    </row>
    <row r="68" spans="1:2" x14ac:dyDescent="0.3">
      <c r="A68" s="22" t="s">
        <v>3</v>
      </c>
      <c r="B68" s="22">
        <f xml:space="preserve"> B67*B13</f>
        <v>45.76</v>
      </c>
    </row>
    <row r="74" spans="1:2" x14ac:dyDescent="0.3">
      <c r="A74" s="23"/>
      <c r="B74" s="7"/>
    </row>
    <row r="75" spans="1:2" x14ac:dyDescent="0.3">
      <c r="A75" s="24" t="s">
        <v>53</v>
      </c>
      <c r="B75" s="7">
        <v>2.5000000000000001E-2</v>
      </c>
    </row>
    <row r="76" spans="1:2" x14ac:dyDescent="0.3">
      <c r="A76" s="2" t="s">
        <v>54</v>
      </c>
      <c r="B76" s="7">
        <f>B75*8</f>
        <v>0.2</v>
      </c>
    </row>
    <row r="77" spans="1:2" x14ac:dyDescent="0.3">
      <c r="A77" s="2" t="s">
        <v>13</v>
      </c>
      <c r="B77" s="7">
        <f>B76*2</f>
        <v>0.4</v>
      </c>
    </row>
    <row r="78" spans="1:2" x14ac:dyDescent="0.3">
      <c r="A78" s="3" t="s">
        <v>14</v>
      </c>
      <c r="B78" s="7">
        <f>B77*2</f>
        <v>0.8</v>
      </c>
    </row>
    <row r="79" spans="1:2" x14ac:dyDescent="0.3">
      <c r="A79" s="23"/>
      <c r="B79" s="7"/>
    </row>
    <row r="81" spans="1:2" x14ac:dyDescent="0.3">
      <c r="A81" s="4" t="s">
        <v>55</v>
      </c>
      <c r="B81" s="5"/>
    </row>
    <row r="82" spans="1:2" x14ac:dyDescent="0.3">
      <c r="A82" s="6" t="s">
        <v>16</v>
      </c>
      <c r="B82" s="7">
        <f>B13+B27+B41</f>
        <v>7.3599999999999994</v>
      </c>
    </row>
    <row r="83" spans="1:2" x14ac:dyDescent="0.3">
      <c r="A83" s="8" t="s">
        <v>17</v>
      </c>
      <c r="B83" s="7">
        <f>MAX(B14,B28,B42)</f>
        <v>1.9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5FAE-8BBB-40E5-9909-C1860CACC0E0}">
  <dimension ref="A2:I69"/>
  <sheetViews>
    <sheetView topLeftCell="A31" zoomScale="66" zoomScaleNormal="66" workbookViewId="0">
      <selection activeCell="F11" sqref="F11"/>
    </sheetView>
  </sheetViews>
  <sheetFormatPr defaultRowHeight="14.4" x14ac:dyDescent="0.3"/>
  <cols>
    <col min="1" max="1" width="34.33203125" customWidth="1"/>
  </cols>
  <sheetData>
    <row r="2" spans="1:6" x14ac:dyDescent="0.3">
      <c r="A2" t="s">
        <v>59</v>
      </c>
      <c r="B2">
        <v>16</v>
      </c>
      <c r="E2" s="4" t="s">
        <v>18</v>
      </c>
      <c r="F2" s="9"/>
    </row>
    <row r="3" spans="1:6" x14ac:dyDescent="0.3">
      <c r="E3" s="6" t="s">
        <v>19</v>
      </c>
      <c r="F3" s="10">
        <f xml:space="preserve"> (B2*B11 +B16*B25+B30*B39+B44*B53)/B56</f>
        <v>46.010000000000012</v>
      </c>
    </row>
    <row r="4" spans="1:6" x14ac:dyDescent="0.3">
      <c r="A4" t="s">
        <v>2</v>
      </c>
      <c r="E4" s="8" t="s">
        <v>20</v>
      </c>
      <c r="F4" s="11">
        <f>0.4 + (B56 * 1.71) + ((B56 -1)*0.8) + 0.4</f>
        <v>10.040000000000001</v>
      </c>
    </row>
    <row r="5" spans="1:6" x14ac:dyDescent="0.3">
      <c r="A5" t="s">
        <v>3</v>
      </c>
      <c r="B5">
        <v>8.4</v>
      </c>
      <c r="E5" s="12"/>
      <c r="F5" s="13"/>
    </row>
    <row r="6" spans="1:6" x14ac:dyDescent="0.3">
      <c r="A6" t="s">
        <v>4</v>
      </c>
      <c r="B6">
        <v>1.71</v>
      </c>
      <c r="E6" s="4" t="s">
        <v>21</v>
      </c>
      <c r="F6" s="5"/>
    </row>
    <row r="7" spans="1:6" x14ac:dyDescent="0.3">
      <c r="A7" t="s">
        <v>5</v>
      </c>
      <c r="B7">
        <v>0.12</v>
      </c>
      <c r="E7" s="6" t="s">
        <v>19</v>
      </c>
      <c r="F7" s="10">
        <f>F3</f>
        <v>46.010000000000012</v>
      </c>
    </row>
    <row r="8" spans="1:6" x14ac:dyDescent="0.3">
      <c r="A8" t="s">
        <v>6</v>
      </c>
      <c r="B8">
        <v>7.0000000000000007E-2</v>
      </c>
      <c r="E8" s="8" t="s">
        <v>20</v>
      </c>
      <c r="F8" s="11">
        <f>F4</f>
        <v>10.040000000000001</v>
      </c>
    </row>
    <row r="9" spans="1:6" x14ac:dyDescent="0.3">
      <c r="A9" t="s">
        <v>7</v>
      </c>
      <c r="B9">
        <v>0.06</v>
      </c>
      <c r="E9" s="12"/>
      <c r="F9" s="13"/>
    </row>
    <row r="10" spans="1:6" x14ac:dyDescent="0.3">
      <c r="A10" t="s">
        <v>8</v>
      </c>
      <c r="B10">
        <v>0.06</v>
      </c>
      <c r="E10" s="4" t="s">
        <v>22</v>
      </c>
      <c r="F10" s="5"/>
    </row>
    <row r="11" spans="1:6" x14ac:dyDescent="0.3">
      <c r="A11" t="s">
        <v>9</v>
      </c>
      <c r="B11">
        <f>B5+B9+B10</f>
        <v>8.5200000000000014</v>
      </c>
      <c r="E11" s="6" t="s">
        <v>19</v>
      </c>
      <c r="F11" s="10">
        <f>F7+B68</f>
        <v>46.810000000000009</v>
      </c>
    </row>
    <row r="12" spans="1:6" x14ac:dyDescent="0.3">
      <c r="A12" t="s">
        <v>10</v>
      </c>
      <c r="B12">
        <f>B6+B7+B8</f>
        <v>1.9000000000000001</v>
      </c>
      <c r="E12" s="8" t="s">
        <v>20</v>
      </c>
      <c r="F12" s="11">
        <f>F4 + B68</f>
        <v>10.840000000000002</v>
      </c>
    </row>
    <row r="13" spans="1:6" x14ac:dyDescent="0.3">
      <c r="E13" s="12"/>
      <c r="F13" s="12"/>
    </row>
    <row r="14" spans="1:6" x14ac:dyDescent="0.3">
      <c r="E14" s="4" t="s">
        <v>23</v>
      </c>
      <c r="F14" s="9"/>
    </row>
    <row r="15" spans="1:6" x14ac:dyDescent="0.3">
      <c r="E15" s="6" t="s">
        <v>24</v>
      </c>
      <c r="F15" s="7">
        <f>B67</f>
        <v>0.4</v>
      </c>
    </row>
    <row r="16" spans="1:6" x14ac:dyDescent="0.3">
      <c r="A16" t="s">
        <v>60</v>
      </c>
      <c r="B16">
        <v>3</v>
      </c>
      <c r="E16" s="6" t="s">
        <v>25</v>
      </c>
      <c r="F16" s="14">
        <f>B67- MAX(B8,B22,B36)</f>
        <v>0.33</v>
      </c>
    </row>
    <row r="17" spans="1:9" x14ac:dyDescent="0.3">
      <c r="E17" s="6" t="s">
        <v>26</v>
      </c>
      <c r="F17" s="7">
        <f>F3</f>
        <v>46.010000000000012</v>
      </c>
    </row>
    <row r="18" spans="1:9" x14ac:dyDescent="0.3">
      <c r="A18" t="s">
        <v>2</v>
      </c>
      <c r="E18" s="8" t="s">
        <v>27</v>
      </c>
      <c r="F18" s="7">
        <f>F4</f>
        <v>10.040000000000001</v>
      </c>
    </row>
    <row r="19" spans="1:9" x14ac:dyDescent="0.3">
      <c r="A19" t="s">
        <v>3</v>
      </c>
      <c r="B19">
        <v>2.2000000000000002</v>
      </c>
    </row>
    <row r="20" spans="1:9" x14ac:dyDescent="0.3">
      <c r="A20" t="s">
        <v>4</v>
      </c>
      <c r="B20">
        <v>1.71</v>
      </c>
    </row>
    <row r="21" spans="1:9" x14ac:dyDescent="0.3">
      <c r="A21" t="s">
        <v>5</v>
      </c>
      <c r="B21">
        <v>0.12</v>
      </c>
      <c r="E21" s="4" t="s">
        <v>28</v>
      </c>
      <c r="F21" s="15"/>
      <c r="G21" s="15"/>
      <c r="H21" s="15"/>
      <c r="I21" s="9"/>
    </row>
    <row r="22" spans="1:9" x14ac:dyDescent="0.3">
      <c r="A22" t="s">
        <v>6</v>
      </c>
      <c r="B22">
        <v>7.0000000000000007E-2</v>
      </c>
      <c r="E22" s="16"/>
      <c r="F22" s="12" t="s">
        <v>29</v>
      </c>
      <c r="G22" s="12" t="s">
        <v>30</v>
      </c>
      <c r="H22" s="7">
        <v>0</v>
      </c>
      <c r="I22" s="7">
        <v>0</v>
      </c>
    </row>
    <row r="23" spans="1:9" x14ac:dyDescent="0.3">
      <c r="A23" t="s">
        <v>7</v>
      </c>
      <c r="B23">
        <v>0.06</v>
      </c>
      <c r="E23" s="16"/>
      <c r="F23" s="12" t="s">
        <v>31</v>
      </c>
      <c r="G23" s="12" t="s">
        <v>32</v>
      </c>
      <c r="H23" s="7">
        <f>H22</f>
        <v>0</v>
      </c>
      <c r="I23" s="7">
        <f>F12</f>
        <v>10.840000000000002</v>
      </c>
    </row>
    <row r="24" spans="1:9" x14ac:dyDescent="0.3">
      <c r="A24" t="s">
        <v>8</v>
      </c>
      <c r="B24">
        <v>0.06</v>
      </c>
      <c r="E24" s="16"/>
      <c r="F24" s="12" t="s">
        <v>33</v>
      </c>
      <c r="G24" s="12" t="s">
        <v>34</v>
      </c>
      <c r="H24" s="7">
        <f>F11</f>
        <v>46.810000000000009</v>
      </c>
      <c r="I24" s="7">
        <f>F12</f>
        <v>10.840000000000002</v>
      </c>
    </row>
    <row r="25" spans="1:9" x14ac:dyDescent="0.3">
      <c r="A25" t="s">
        <v>9</v>
      </c>
      <c r="B25">
        <f>B19+B23+B24</f>
        <v>2.3200000000000003</v>
      </c>
      <c r="E25" s="17"/>
      <c r="F25" s="18" t="s">
        <v>35</v>
      </c>
      <c r="G25" s="18" t="s">
        <v>36</v>
      </c>
      <c r="H25" s="7">
        <f>F11</f>
        <v>46.810000000000009</v>
      </c>
      <c r="I25" s="7">
        <f>I22</f>
        <v>0</v>
      </c>
    </row>
    <row r="26" spans="1:9" x14ac:dyDescent="0.3">
      <c r="A26" t="s">
        <v>10</v>
      </c>
      <c r="B26">
        <f>B20+B21+B22</f>
        <v>1.9000000000000001</v>
      </c>
    </row>
    <row r="27" spans="1:9" x14ac:dyDescent="0.3">
      <c r="E27" s="19" t="s">
        <v>37</v>
      </c>
      <c r="F27">
        <f>F11*F12</f>
        <v>507.4204000000002</v>
      </c>
    </row>
    <row r="28" spans="1:9" x14ac:dyDescent="0.3">
      <c r="E28" s="19" t="s">
        <v>38</v>
      </c>
      <c r="F28">
        <f>F17*F18</f>
        <v>461.94040000000018</v>
      </c>
    </row>
    <row r="29" spans="1:9" x14ac:dyDescent="0.3">
      <c r="E29" s="19" t="s">
        <v>39</v>
      </c>
      <c r="F29" s="20">
        <f>F28/F27</f>
        <v>0.91037017825850119</v>
      </c>
    </row>
    <row r="30" spans="1:9" x14ac:dyDescent="0.3">
      <c r="A30" t="s">
        <v>58</v>
      </c>
      <c r="B30">
        <v>17</v>
      </c>
    </row>
    <row r="31" spans="1:9" x14ac:dyDescent="0.3">
      <c r="E31" s="19" t="s">
        <v>40</v>
      </c>
      <c r="F31">
        <f>F7*F8</f>
        <v>461.94040000000018</v>
      </c>
    </row>
    <row r="32" spans="1:9" x14ac:dyDescent="0.3">
      <c r="A32" t="s">
        <v>2</v>
      </c>
      <c r="E32" s="19" t="s">
        <v>41</v>
      </c>
      <c r="F32">
        <f>F3*F4</f>
        <v>461.94040000000018</v>
      </c>
    </row>
    <row r="33" spans="1:6" x14ac:dyDescent="0.3">
      <c r="A33" t="s">
        <v>3</v>
      </c>
      <c r="B33">
        <v>1.6</v>
      </c>
      <c r="E33" s="19" t="s">
        <v>42</v>
      </c>
      <c r="F33" s="20">
        <f>(F32/F31)</f>
        <v>1</v>
      </c>
    </row>
    <row r="34" spans="1:6" x14ac:dyDescent="0.3">
      <c r="A34" t="s">
        <v>4</v>
      </c>
      <c r="B34">
        <v>1.71</v>
      </c>
    </row>
    <row r="35" spans="1:6" x14ac:dyDescent="0.3">
      <c r="A35" t="s">
        <v>5</v>
      </c>
      <c r="B35">
        <v>0.12</v>
      </c>
    </row>
    <row r="36" spans="1:6" x14ac:dyDescent="0.3">
      <c r="A36" t="s">
        <v>6</v>
      </c>
      <c r="B36">
        <v>7.0000000000000007E-2</v>
      </c>
    </row>
    <row r="37" spans="1:6" x14ac:dyDescent="0.3">
      <c r="A37" t="s">
        <v>7</v>
      </c>
      <c r="B37">
        <v>0.06</v>
      </c>
    </row>
    <row r="38" spans="1:6" x14ac:dyDescent="0.3">
      <c r="A38" t="s">
        <v>8</v>
      </c>
      <c r="B38">
        <v>0.06</v>
      </c>
    </row>
    <row r="39" spans="1:6" x14ac:dyDescent="0.3">
      <c r="A39" t="s">
        <v>9</v>
      </c>
      <c r="B39">
        <f>B33+B37+B38</f>
        <v>1.7200000000000002</v>
      </c>
    </row>
    <row r="40" spans="1:6" x14ac:dyDescent="0.3">
      <c r="A40" t="s">
        <v>10</v>
      </c>
      <c r="B40">
        <f>B34+B35+B36</f>
        <v>1.9000000000000001</v>
      </c>
    </row>
    <row r="44" spans="1:6" x14ac:dyDescent="0.3">
      <c r="A44" t="s">
        <v>46</v>
      </c>
      <c r="B44">
        <v>16</v>
      </c>
    </row>
    <row r="46" spans="1:6" x14ac:dyDescent="0.3">
      <c r="A46" t="s">
        <v>2</v>
      </c>
    </row>
    <row r="47" spans="1:6" x14ac:dyDescent="0.3">
      <c r="A47" t="s">
        <v>3</v>
      </c>
      <c r="B47">
        <v>0.6</v>
      </c>
    </row>
    <row r="48" spans="1:6" x14ac:dyDescent="0.3">
      <c r="A48" t="s">
        <v>4</v>
      </c>
      <c r="B48">
        <v>1.71</v>
      </c>
    </row>
    <row r="49" spans="1:2" x14ac:dyDescent="0.3">
      <c r="A49" t="s">
        <v>5</v>
      </c>
      <c r="B49">
        <v>0.12</v>
      </c>
    </row>
    <row r="50" spans="1:2" x14ac:dyDescent="0.3">
      <c r="A50" t="s">
        <v>6</v>
      </c>
      <c r="B50">
        <v>7.0000000000000007E-2</v>
      </c>
    </row>
    <row r="51" spans="1:2" x14ac:dyDescent="0.3">
      <c r="A51" t="s">
        <v>7</v>
      </c>
      <c r="B51">
        <v>0.06</v>
      </c>
    </row>
    <row r="52" spans="1:2" x14ac:dyDescent="0.3">
      <c r="A52" t="s">
        <v>8</v>
      </c>
      <c r="B52">
        <v>0.06</v>
      </c>
    </row>
    <row r="53" spans="1:2" x14ac:dyDescent="0.3">
      <c r="A53" t="s">
        <v>9</v>
      </c>
      <c r="B53">
        <f>B47+B51+B52</f>
        <v>0.72</v>
      </c>
    </row>
    <row r="54" spans="1:2" x14ac:dyDescent="0.3">
      <c r="A54" t="s">
        <v>10</v>
      </c>
      <c r="B54">
        <f>B48+B49+B50</f>
        <v>1.9000000000000001</v>
      </c>
    </row>
    <row r="56" spans="1:2" x14ac:dyDescent="0.3">
      <c r="A56" t="s">
        <v>0</v>
      </c>
      <c r="B56">
        <v>4</v>
      </c>
    </row>
    <row r="57" spans="1:2" x14ac:dyDescent="0.3">
      <c r="A57" t="s">
        <v>47</v>
      </c>
      <c r="B57" s="25">
        <f>B2+B16+B30+B44</f>
        <v>52</v>
      </c>
    </row>
    <row r="64" spans="1:2" x14ac:dyDescent="0.3">
      <c r="A64" s="23"/>
      <c r="B64" s="7"/>
    </row>
    <row r="65" spans="1:2" x14ac:dyDescent="0.3">
      <c r="A65" s="24" t="s">
        <v>53</v>
      </c>
      <c r="B65" s="7">
        <v>2.5000000000000001E-2</v>
      </c>
    </row>
    <row r="66" spans="1:2" x14ac:dyDescent="0.3">
      <c r="A66" s="2" t="s">
        <v>54</v>
      </c>
      <c r="B66" s="7">
        <f>B65*8</f>
        <v>0.2</v>
      </c>
    </row>
    <row r="67" spans="1:2" x14ac:dyDescent="0.3">
      <c r="A67" s="2" t="s">
        <v>13</v>
      </c>
      <c r="B67" s="7">
        <f>B66*2</f>
        <v>0.4</v>
      </c>
    </row>
    <row r="68" spans="1:2" x14ac:dyDescent="0.3">
      <c r="A68" s="3" t="s">
        <v>14</v>
      </c>
      <c r="B68" s="7">
        <f>B67*2</f>
        <v>0.8</v>
      </c>
    </row>
    <row r="69" spans="1:2" x14ac:dyDescent="0.3">
      <c r="A69" s="23"/>
      <c r="B69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CF41-6FB5-40F2-B7FC-388ED9D58E74}">
  <dimension ref="A2:J85"/>
  <sheetViews>
    <sheetView topLeftCell="A56" zoomScale="60" zoomScaleNormal="60" workbookViewId="0">
      <selection activeCell="B86" sqref="B86"/>
    </sheetView>
  </sheetViews>
  <sheetFormatPr defaultRowHeight="14.4" x14ac:dyDescent="0.3"/>
  <cols>
    <col min="1" max="1" width="34.33203125" customWidth="1"/>
    <col min="4" max="4" width="12.77734375" customWidth="1"/>
    <col min="5" max="5" width="22.33203125" customWidth="1"/>
    <col min="9" max="9" width="25.6640625" customWidth="1"/>
    <col min="10" max="10" width="15" customWidth="1"/>
  </cols>
  <sheetData>
    <row r="2" spans="1:10" x14ac:dyDescent="0.3">
      <c r="A2" t="s">
        <v>59</v>
      </c>
      <c r="B2">
        <v>16</v>
      </c>
      <c r="E2" s="4" t="s">
        <v>18</v>
      </c>
      <c r="F2" s="9"/>
      <c r="I2" s="22" t="s">
        <v>0</v>
      </c>
      <c r="J2" s="22">
        <v>4</v>
      </c>
    </row>
    <row r="3" spans="1:10" x14ac:dyDescent="0.3">
      <c r="E3" s="6" t="s">
        <v>19</v>
      </c>
      <c r="F3" s="10">
        <f xml:space="preserve"> (B2*B11 +B16*B25+B30*B39+B44*B53)/J2</f>
        <v>46.590000000000011</v>
      </c>
      <c r="I3" s="22" t="s">
        <v>47</v>
      </c>
      <c r="J3" s="26">
        <f>B2+B16+B30+B44+B59+B72</f>
        <v>55</v>
      </c>
    </row>
    <row r="4" spans="1:10" x14ac:dyDescent="0.3">
      <c r="A4" t="s">
        <v>2</v>
      </c>
      <c r="E4" s="8" t="s">
        <v>20</v>
      </c>
      <c r="F4" s="11">
        <f>0.4 + (J2 * 1.71) + ((J2 -1)*0.8) + 0.4</f>
        <v>10.040000000000001</v>
      </c>
    </row>
    <row r="5" spans="1:10" x14ac:dyDescent="0.3">
      <c r="A5" t="s">
        <v>3</v>
      </c>
      <c r="B5">
        <v>8.4</v>
      </c>
      <c r="E5" s="12"/>
      <c r="F5" s="13"/>
    </row>
    <row r="6" spans="1:10" x14ac:dyDescent="0.3">
      <c r="A6" t="s">
        <v>4</v>
      </c>
      <c r="B6">
        <v>1.71</v>
      </c>
      <c r="E6" s="4" t="s">
        <v>21</v>
      </c>
      <c r="F6" s="5"/>
    </row>
    <row r="7" spans="1:10" x14ac:dyDescent="0.3">
      <c r="A7" t="s">
        <v>5</v>
      </c>
      <c r="B7">
        <v>0.12</v>
      </c>
      <c r="E7" s="6" t="s">
        <v>19</v>
      </c>
      <c r="F7" s="10">
        <f>F3</f>
        <v>46.590000000000011</v>
      </c>
      <c r="I7" s="23"/>
      <c r="J7" s="7"/>
    </row>
    <row r="8" spans="1:10" x14ac:dyDescent="0.3">
      <c r="A8" t="s">
        <v>6</v>
      </c>
      <c r="B8">
        <v>7.0000000000000007E-2</v>
      </c>
      <c r="E8" s="8" t="s">
        <v>20</v>
      </c>
      <c r="F8" s="11">
        <f>F4</f>
        <v>10.040000000000001</v>
      </c>
      <c r="I8" s="24" t="s">
        <v>53</v>
      </c>
      <c r="J8" s="7">
        <v>2.5000000000000001E-2</v>
      </c>
    </row>
    <row r="9" spans="1:10" x14ac:dyDescent="0.3">
      <c r="A9" t="s">
        <v>7</v>
      </c>
      <c r="B9">
        <v>0.06</v>
      </c>
      <c r="E9" s="12"/>
      <c r="F9" s="13"/>
      <c r="I9" s="2" t="s">
        <v>54</v>
      </c>
      <c r="J9" s="7">
        <f>J8*8</f>
        <v>0.2</v>
      </c>
    </row>
    <row r="10" spans="1:10" x14ac:dyDescent="0.3">
      <c r="A10" t="s">
        <v>8</v>
      </c>
      <c r="B10">
        <v>0.06</v>
      </c>
      <c r="E10" s="4" t="s">
        <v>22</v>
      </c>
      <c r="F10" s="5"/>
      <c r="I10" s="2" t="s">
        <v>13</v>
      </c>
      <c r="J10" s="7">
        <f>J9*2</f>
        <v>0.4</v>
      </c>
    </row>
    <row r="11" spans="1:10" x14ac:dyDescent="0.3">
      <c r="A11" t="s">
        <v>9</v>
      </c>
      <c r="B11">
        <f>B5+B9+B10</f>
        <v>8.5200000000000014</v>
      </c>
      <c r="E11" s="6" t="s">
        <v>19</v>
      </c>
      <c r="F11" s="10">
        <f>F7+J11</f>
        <v>47.390000000000008</v>
      </c>
      <c r="I11" s="3" t="s">
        <v>14</v>
      </c>
      <c r="J11" s="7">
        <f>J10*2</f>
        <v>0.8</v>
      </c>
    </row>
    <row r="12" spans="1:10" x14ac:dyDescent="0.3">
      <c r="A12" t="s">
        <v>10</v>
      </c>
      <c r="B12">
        <f>B6+B7+B8</f>
        <v>1.9000000000000001</v>
      </c>
      <c r="E12" s="8" t="s">
        <v>20</v>
      </c>
      <c r="F12" s="11">
        <f>F4 + J11</f>
        <v>10.840000000000002</v>
      </c>
      <c r="I12" s="23"/>
      <c r="J12" s="7"/>
    </row>
    <row r="13" spans="1:10" x14ac:dyDescent="0.3">
      <c r="E13" s="12"/>
      <c r="F13" s="12"/>
    </row>
    <row r="14" spans="1:10" x14ac:dyDescent="0.3">
      <c r="E14" s="4" t="s">
        <v>23</v>
      </c>
      <c r="F14" s="9"/>
    </row>
    <row r="15" spans="1:10" x14ac:dyDescent="0.3">
      <c r="E15" s="6" t="s">
        <v>24</v>
      </c>
      <c r="F15" s="7">
        <f>J10</f>
        <v>0.4</v>
      </c>
    </row>
    <row r="16" spans="1:10" x14ac:dyDescent="0.3">
      <c r="A16" t="s">
        <v>60</v>
      </c>
      <c r="B16">
        <v>4</v>
      </c>
      <c r="E16" s="6" t="s">
        <v>25</v>
      </c>
      <c r="F16" s="14">
        <f>J10- MAX(B8,B22,B36)</f>
        <v>0.33</v>
      </c>
    </row>
    <row r="17" spans="1:9" x14ac:dyDescent="0.3">
      <c r="E17" s="6" t="s">
        <v>26</v>
      </c>
      <c r="F17" s="7">
        <f>F3</f>
        <v>46.590000000000011</v>
      </c>
    </row>
    <row r="18" spans="1:9" x14ac:dyDescent="0.3">
      <c r="A18" t="s">
        <v>2</v>
      </c>
      <c r="E18" s="8" t="s">
        <v>27</v>
      </c>
      <c r="F18" s="7">
        <f>F4</f>
        <v>10.040000000000001</v>
      </c>
    </row>
    <row r="19" spans="1:9" x14ac:dyDescent="0.3">
      <c r="A19" t="s">
        <v>3</v>
      </c>
      <c r="B19">
        <v>2.2000000000000002</v>
      </c>
    </row>
    <row r="20" spans="1:9" x14ac:dyDescent="0.3">
      <c r="A20" t="s">
        <v>4</v>
      </c>
      <c r="B20">
        <v>1.71</v>
      </c>
    </row>
    <row r="21" spans="1:9" x14ac:dyDescent="0.3">
      <c r="A21" t="s">
        <v>5</v>
      </c>
      <c r="B21">
        <v>0.12</v>
      </c>
      <c r="E21" s="4" t="s">
        <v>28</v>
      </c>
      <c r="F21" s="15"/>
      <c r="G21" s="15"/>
      <c r="H21" s="15"/>
      <c r="I21" s="9"/>
    </row>
    <row r="22" spans="1:9" x14ac:dyDescent="0.3">
      <c r="A22" t="s">
        <v>6</v>
      </c>
      <c r="B22">
        <v>7.0000000000000007E-2</v>
      </c>
      <c r="E22" s="16"/>
      <c r="F22" s="12" t="s">
        <v>29</v>
      </c>
      <c r="G22" s="12" t="s">
        <v>30</v>
      </c>
      <c r="H22" s="7">
        <v>0</v>
      </c>
      <c r="I22" s="7">
        <v>0</v>
      </c>
    </row>
    <row r="23" spans="1:9" x14ac:dyDescent="0.3">
      <c r="A23" t="s">
        <v>7</v>
      </c>
      <c r="B23">
        <v>0.06</v>
      </c>
      <c r="E23" s="16"/>
      <c r="F23" s="12" t="s">
        <v>31</v>
      </c>
      <c r="G23" s="12" t="s">
        <v>32</v>
      </c>
      <c r="H23" s="7">
        <f>H22</f>
        <v>0</v>
      </c>
      <c r="I23" s="7">
        <f>F12</f>
        <v>10.840000000000002</v>
      </c>
    </row>
    <row r="24" spans="1:9" x14ac:dyDescent="0.3">
      <c r="A24" t="s">
        <v>8</v>
      </c>
      <c r="B24">
        <v>0.06</v>
      </c>
      <c r="E24" s="16"/>
      <c r="F24" s="12" t="s">
        <v>33</v>
      </c>
      <c r="G24" s="12" t="s">
        <v>34</v>
      </c>
      <c r="H24" s="7">
        <f>F11</f>
        <v>47.390000000000008</v>
      </c>
      <c r="I24" s="7">
        <f>F12</f>
        <v>10.840000000000002</v>
      </c>
    </row>
    <row r="25" spans="1:9" x14ac:dyDescent="0.3">
      <c r="A25" t="s">
        <v>9</v>
      </c>
      <c r="B25">
        <f>B19+B23+B24</f>
        <v>2.3200000000000003</v>
      </c>
      <c r="E25" s="17"/>
      <c r="F25" s="18" t="s">
        <v>35</v>
      </c>
      <c r="G25" s="18" t="s">
        <v>36</v>
      </c>
      <c r="H25" s="7">
        <f>F11</f>
        <v>47.390000000000008</v>
      </c>
      <c r="I25" s="7">
        <f>I22</f>
        <v>0</v>
      </c>
    </row>
    <row r="26" spans="1:9" x14ac:dyDescent="0.3">
      <c r="A26" t="s">
        <v>10</v>
      </c>
      <c r="B26">
        <f>B20+B21+B22</f>
        <v>1.9000000000000001</v>
      </c>
    </row>
    <row r="27" spans="1:9" x14ac:dyDescent="0.3">
      <c r="E27" s="19" t="s">
        <v>37</v>
      </c>
      <c r="F27">
        <f>F11*F12</f>
        <v>513.70760000000018</v>
      </c>
    </row>
    <row r="28" spans="1:9" x14ac:dyDescent="0.3">
      <c r="E28" s="19" t="s">
        <v>38</v>
      </c>
      <c r="F28">
        <f>F17*F18</f>
        <v>467.76360000000017</v>
      </c>
    </row>
    <row r="29" spans="1:9" x14ac:dyDescent="0.3">
      <c r="E29" s="19" t="s">
        <v>39</v>
      </c>
      <c r="F29" s="20">
        <f>F28/F27</f>
        <v>0.91056390834007517</v>
      </c>
    </row>
    <row r="30" spans="1:9" x14ac:dyDescent="0.3">
      <c r="A30" t="s">
        <v>58</v>
      </c>
      <c r="B30">
        <v>17</v>
      </c>
    </row>
    <row r="31" spans="1:9" x14ac:dyDescent="0.3">
      <c r="E31" s="19" t="s">
        <v>40</v>
      </c>
      <c r="F31">
        <f>F7*F8</f>
        <v>467.76360000000017</v>
      </c>
    </row>
    <row r="32" spans="1:9" x14ac:dyDescent="0.3">
      <c r="A32" t="s">
        <v>2</v>
      </c>
      <c r="E32" s="19" t="s">
        <v>41</v>
      </c>
      <c r="F32">
        <f>F3*F4</f>
        <v>467.76360000000017</v>
      </c>
    </row>
    <row r="33" spans="1:6" x14ac:dyDescent="0.3">
      <c r="A33" t="s">
        <v>3</v>
      </c>
      <c r="B33">
        <v>1.6</v>
      </c>
      <c r="E33" s="19" t="s">
        <v>42</v>
      </c>
      <c r="F33" s="20">
        <f>(F32/F31)</f>
        <v>1</v>
      </c>
    </row>
    <row r="34" spans="1:6" x14ac:dyDescent="0.3">
      <c r="A34" t="s">
        <v>4</v>
      </c>
      <c r="B34">
        <v>1.71</v>
      </c>
    </row>
    <row r="35" spans="1:6" x14ac:dyDescent="0.3">
      <c r="A35" t="s">
        <v>5</v>
      </c>
      <c r="B35">
        <v>0.12</v>
      </c>
    </row>
    <row r="36" spans="1:6" x14ac:dyDescent="0.3">
      <c r="A36" t="s">
        <v>6</v>
      </c>
      <c r="B36">
        <v>7.0000000000000007E-2</v>
      </c>
    </row>
    <row r="37" spans="1:6" x14ac:dyDescent="0.3">
      <c r="A37" t="s">
        <v>7</v>
      </c>
      <c r="B37">
        <v>0.06</v>
      </c>
    </row>
    <row r="38" spans="1:6" x14ac:dyDescent="0.3">
      <c r="A38" t="s">
        <v>8</v>
      </c>
      <c r="B38">
        <v>0.06</v>
      </c>
    </row>
    <row r="39" spans="1:6" x14ac:dyDescent="0.3">
      <c r="A39" t="s">
        <v>9</v>
      </c>
      <c r="B39">
        <f>B33+B37+B38</f>
        <v>1.7200000000000002</v>
      </c>
    </row>
    <row r="40" spans="1:6" x14ac:dyDescent="0.3">
      <c r="A40" t="s">
        <v>10</v>
      </c>
      <c r="B40">
        <f>B34+B35+B36</f>
        <v>1.9000000000000001</v>
      </c>
    </row>
    <row r="44" spans="1:6" x14ac:dyDescent="0.3">
      <c r="A44" t="s">
        <v>46</v>
      </c>
      <c r="B44">
        <v>16</v>
      </c>
    </row>
    <row r="46" spans="1:6" x14ac:dyDescent="0.3">
      <c r="A46" t="s">
        <v>2</v>
      </c>
    </row>
    <row r="47" spans="1:6" x14ac:dyDescent="0.3">
      <c r="A47" t="s">
        <v>3</v>
      </c>
      <c r="B47">
        <v>0.6</v>
      </c>
    </row>
    <row r="48" spans="1:6" x14ac:dyDescent="0.3">
      <c r="A48" t="s">
        <v>4</v>
      </c>
      <c r="B48">
        <v>1.71</v>
      </c>
    </row>
    <row r="49" spans="1:2" x14ac:dyDescent="0.3">
      <c r="A49" t="s">
        <v>5</v>
      </c>
      <c r="B49">
        <v>0.12</v>
      </c>
    </row>
    <row r="50" spans="1:2" x14ac:dyDescent="0.3">
      <c r="A50" t="s">
        <v>6</v>
      </c>
      <c r="B50">
        <v>7.0000000000000007E-2</v>
      </c>
    </row>
    <row r="51" spans="1:2" x14ac:dyDescent="0.3">
      <c r="A51" t="s">
        <v>7</v>
      </c>
      <c r="B51">
        <v>0.06</v>
      </c>
    </row>
    <row r="52" spans="1:2" x14ac:dyDescent="0.3">
      <c r="A52" t="s">
        <v>8</v>
      </c>
      <c r="B52">
        <v>0.06</v>
      </c>
    </row>
    <row r="53" spans="1:2" x14ac:dyDescent="0.3">
      <c r="A53" t="s">
        <v>9</v>
      </c>
      <c r="B53">
        <f>B47+B51+B52</f>
        <v>0.72</v>
      </c>
    </row>
    <row r="54" spans="1:2" x14ac:dyDescent="0.3">
      <c r="A54" t="s">
        <v>10</v>
      </c>
      <c r="B54">
        <f>B48+B49+B50</f>
        <v>1.9000000000000001</v>
      </c>
    </row>
    <row r="58" spans="1:2" x14ac:dyDescent="0.3">
      <c r="B58" s="25"/>
    </row>
    <row r="59" spans="1:2" x14ac:dyDescent="0.3">
      <c r="A59" t="s">
        <v>44</v>
      </c>
      <c r="B59">
        <v>1</v>
      </c>
    </row>
    <row r="61" spans="1:2" x14ac:dyDescent="0.3">
      <c r="A61" t="s">
        <v>2</v>
      </c>
    </row>
    <row r="62" spans="1:2" x14ac:dyDescent="0.3">
      <c r="A62" t="s">
        <v>3</v>
      </c>
      <c r="B62">
        <v>0.8</v>
      </c>
    </row>
    <row r="63" spans="1:2" x14ac:dyDescent="0.3">
      <c r="A63" t="s">
        <v>4</v>
      </c>
      <c r="B63">
        <v>1.71</v>
      </c>
    </row>
    <row r="64" spans="1:2" x14ac:dyDescent="0.3">
      <c r="A64" t="s">
        <v>5</v>
      </c>
      <c r="B64">
        <v>0.12</v>
      </c>
    </row>
    <row r="65" spans="1:2" x14ac:dyDescent="0.3">
      <c r="A65" t="s">
        <v>6</v>
      </c>
      <c r="B65">
        <v>7.0000000000000007E-2</v>
      </c>
    </row>
    <row r="66" spans="1:2" x14ac:dyDescent="0.3">
      <c r="A66" t="s">
        <v>7</v>
      </c>
      <c r="B66">
        <v>0.06</v>
      </c>
    </row>
    <row r="67" spans="1:2" x14ac:dyDescent="0.3">
      <c r="A67" t="s">
        <v>8</v>
      </c>
      <c r="B67">
        <v>0.06</v>
      </c>
    </row>
    <row r="68" spans="1:2" x14ac:dyDescent="0.3">
      <c r="A68" t="s">
        <v>9</v>
      </c>
      <c r="B68">
        <v>0.92</v>
      </c>
    </row>
    <row r="69" spans="1:2" x14ac:dyDescent="0.3">
      <c r="A69" t="s">
        <v>10</v>
      </c>
      <c r="B69">
        <v>1.9</v>
      </c>
    </row>
    <row r="72" spans="1:2" x14ac:dyDescent="0.3">
      <c r="A72" t="s">
        <v>45</v>
      </c>
      <c r="B72">
        <v>1</v>
      </c>
    </row>
    <row r="74" spans="1:2" x14ac:dyDescent="0.3">
      <c r="A74" t="s">
        <v>2</v>
      </c>
    </row>
    <row r="75" spans="1:2" x14ac:dyDescent="0.3">
      <c r="A75" t="s">
        <v>3</v>
      </c>
      <c r="B75">
        <v>0.6</v>
      </c>
    </row>
    <row r="76" spans="1:2" x14ac:dyDescent="0.3">
      <c r="A76" t="s">
        <v>4</v>
      </c>
      <c r="B76">
        <v>1.71</v>
      </c>
    </row>
    <row r="77" spans="1:2" x14ac:dyDescent="0.3">
      <c r="A77" t="s">
        <v>5</v>
      </c>
      <c r="B77">
        <v>0.12</v>
      </c>
    </row>
    <row r="78" spans="1:2" x14ac:dyDescent="0.3">
      <c r="A78" t="s">
        <v>6</v>
      </c>
      <c r="B78">
        <v>7.0000000000000007E-2</v>
      </c>
    </row>
    <row r="79" spans="1:2" x14ac:dyDescent="0.3">
      <c r="A79" t="s">
        <v>7</v>
      </c>
      <c r="B79">
        <v>0.06</v>
      </c>
    </row>
    <row r="80" spans="1:2" x14ac:dyDescent="0.3">
      <c r="A80" t="s">
        <v>8</v>
      </c>
      <c r="B80">
        <v>0.06</v>
      </c>
    </row>
    <row r="81" spans="1:2" x14ac:dyDescent="0.3">
      <c r="A81" t="s">
        <v>9</v>
      </c>
      <c r="B81">
        <v>0.72</v>
      </c>
    </row>
    <row r="82" spans="1:2" x14ac:dyDescent="0.3">
      <c r="A82" t="s">
        <v>10</v>
      </c>
      <c r="B82">
        <v>1.9</v>
      </c>
    </row>
    <row r="85" spans="1:2" x14ac:dyDescent="0.3">
      <c r="A85" t="s">
        <v>65</v>
      </c>
      <c r="B85">
        <f>B2+B16+B30+B44+B59+B72</f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85B3-8366-4A24-87C3-C8A05661ED12}">
  <dimension ref="A2:J33"/>
  <sheetViews>
    <sheetView zoomScale="66" zoomScaleNormal="66" workbookViewId="0">
      <selection activeCell="B32" sqref="B32"/>
    </sheetView>
  </sheetViews>
  <sheetFormatPr defaultRowHeight="14.4" x14ac:dyDescent="0.3"/>
  <cols>
    <col min="1" max="1" width="19.88671875" customWidth="1"/>
    <col min="4" max="4" width="12.77734375" customWidth="1"/>
    <col min="5" max="5" width="22.33203125" customWidth="1"/>
    <col min="9" max="9" width="25.6640625" customWidth="1"/>
    <col min="10" max="10" width="15" customWidth="1"/>
  </cols>
  <sheetData>
    <row r="2" spans="1:10" x14ac:dyDescent="0.3">
      <c r="E2" s="4" t="s">
        <v>18</v>
      </c>
      <c r="F2" s="9"/>
      <c r="I2" s="22" t="s">
        <v>0</v>
      </c>
      <c r="J2" s="22">
        <v>2</v>
      </c>
    </row>
    <row r="3" spans="1:10" x14ac:dyDescent="0.3">
      <c r="E3" s="6" t="s">
        <v>19</v>
      </c>
      <c r="F3" s="10">
        <f xml:space="preserve"> (B6*B15 +B19*B28)/J2</f>
        <v>13.7</v>
      </c>
      <c r="I3" s="22" t="s">
        <v>47</v>
      </c>
      <c r="J3" s="26">
        <v>3</v>
      </c>
    </row>
    <row r="4" spans="1:10" x14ac:dyDescent="0.3">
      <c r="E4" s="8" t="s">
        <v>20</v>
      </c>
      <c r="F4" s="11">
        <f>0.4 + (J2 * 1.71) + ((J2 -1)*0.8) + 0.4</f>
        <v>5.0200000000000005</v>
      </c>
    </row>
    <row r="5" spans="1:10" x14ac:dyDescent="0.3">
      <c r="B5" s="25"/>
      <c r="E5" s="12"/>
      <c r="F5" s="13"/>
    </row>
    <row r="6" spans="1:10" x14ac:dyDescent="0.3">
      <c r="A6" t="s">
        <v>44</v>
      </c>
      <c r="B6">
        <v>29</v>
      </c>
      <c r="E6" s="4" t="s">
        <v>21</v>
      </c>
      <c r="F6" s="5"/>
    </row>
    <row r="7" spans="1:10" x14ac:dyDescent="0.3">
      <c r="E7" s="6" t="s">
        <v>19</v>
      </c>
      <c r="F7" s="10">
        <f>F3</f>
        <v>13.7</v>
      </c>
      <c r="I7" s="23"/>
      <c r="J7" s="7"/>
    </row>
    <row r="8" spans="1:10" x14ac:dyDescent="0.3">
      <c r="A8" t="s">
        <v>2</v>
      </c>
      <c r="E8" s="8" t="s">
        <v>20</v>
      </c>
      <c r="F8" s="11">
        <f>F4</f>
        <v>5.0200000000000005</v>
      </c>
      <c r="I8" s="24" t="s">
        <v>53</v>
      </c>
      <c r="J8" s="7">
        <v>2.5000000000000001E-2</v>
      </c>
    </row>
    <row r="9" spans="1:10" x14ac:dyDescent="0.3">
      <c r="A9" t="s">
        <v>3</v>
      </c>
      <c r="B9">
        <v>0.8</v>
      </c>
      <c r="E9" s="12"/>
      <c r="F9" s="13"/>
      <c r="I9" s="2" t="s">
        <v>54</v>
      </c>
      <c r="J9" s="7">
        <f>J8*8</f>
        <v>0.2</v>
      </c>
    </row>
    <row r="10" spans="1:10" x14ac:dyDescent="0.3">
      <c r="A10" t="s">
        <v>4</v>
      </c>
      <c r="B10">
        <v>1.71</v>
      </c>
      <c r="E10" s="4" t="s">
        <v>22</v>
      </c>
      <c r="F10" s="5"/>
      <c r="I10" s="2" t="s">
        <v>13</v>
      </c>
      <c r="J10" s="7">
        <f>J9*2</f>
        <v>0.4</v>
      </c>
    </row>
    <row r="11" spans="1:10" x14ac:dyDescent="0.3">
      <c r="A11" t="s">
        <v>5</v>
      </c>
      <c r="B11">
        <v>0.12</v>
      </c>
      <c r="E11" s="6" t="s">
        <v>19</v>
      </c>
      <c r="F11" s="10">
        <f>F7+J11</f>
        <v>14.5</v>
      </c>
      <c r="I11" s="3" t="s">
        <v>14</v>
      </c>
      <c r="J11" s="7">
        <f>J10*2</f>
        <v>0.8</v>
      </c>
    </row>
    <row r="12" spans="1:10" x14ac:dyDescent="0.3">
      <c r="A12" t="s">
        <v>6</v>
      </c>
      <c r="B12">
        <v>7.0000000000000007E-2</v>
      </c>
      <c r="E12" s="8" t="s">
        <v>20</v>
      </c>
      <c r="F12" s="11">
        <f>F4 + J11</f>
        <v>5.82</v>
      </c>
      <c r="I12" s="23"/>
      <c r="J12" s="7"/>
    </row>
    <row r="13" spans="1:10" x14ac:dyDescent="0.3">
      <c r="A13" t="s">
        <v>7</v>
      </c>
      <c r="B13">
        <v>0.06</v>
      </c>
      <c r="E13" s="12"/>
      <c r="F13" s="12"/>
    </row>
    <row r="14" spans="1:10" x14ac:dyDescent="0.3">
      <c r="A14" t="s">
        <v>8</v>
      </c>
      <c r="B14">
        <v>0.06</v>
      </c>
      <c r="E14" s="4" t="s">
        <v>23</v>
      </c>
      <c r="F14" s="9"/>
    </row>
    <row r="15" spans="1:10" x14ac:dyDescent="0.3">
      <c r="A15" t="s">
        <v>9</v>
      </c>
      <c r="B15">
        <v>0.92</v>
      </c>
      <c r="E15" s="6" t="s">
        <v>24</v>
      </c>
      <c r="F15" s="7">
        <f>J10</f>
        <v>0.4</v>
      </c>
    </row>
    <row r="16" spans="1:10" x14ac:dyDescent="0.3">
      <c r="A16" t="s">
        <v>10</v>
      </c>
      <c r="B16">
        <v>1.9</v>
      </c>
      <c r="E16" s="6" t="s">
        <v>25</v>
      </c>
      <c r="F16" s="14">
        <f>J10- B12</f>
        <v>0.33</v>
      </c>
    </row>
    <row r="17" spans="1:9" x14ac:dyDescent="0.3">
      <c r="E17" s="6" t="s">
        <v>26</v>
      </c>
      <c r="F17" s="7">
        <f>F3</f>
        <v>13.7</v>
      </c>
    </row>
    <row r="18" spans="1:9" x14ac:dyDescent="0.3">
      <c r="E18" s="8" t="s">
        <v>27</v>
      </c>
      <c r="F18" s="7">
        <f>F4</f>
        <v>5.0200000000000005</v>
      </c>
    </row>
    <row r="19" spans="1:9" x14ac:dyDescent="0.3">
      <c r="A19" t="s">
        <v>45</v>
      </c>
      <c r="B19">
        <v>1</v>
      </c>
    </row>
    <row r="21" spans="1:9" x14ac:dyDescent="0.3">
      <c r="A21" t="s">
        <v>2</v>
      </c>
      <c r="E21" s="4" t="s">
        <v>28</v>
      </c>
      <c r="F21" s="15"/>
      <c r="G21" s="15"/>
      <c r="H21" s="15"/>
      <c r="I21" s="9"/>
    </row>
    <row r="22" spans="1:9" x14ac:dyDescent="0.3">
      <c r="A22" t="s">
        <v>3</v>
      </c>
      <c r="B22">
        <v>0.6</v>
      </c>
      <c r="E22" s="16"/>
      <c r="F22" s="12" t="s">
        <v>29</v>
      </c>
      <c r="G22" s="12" t="s">
        <v>30</v>
      </c>
      <c r="H22" s="7">
        <v>0</v>
      </c>
      <c r="I22" s="7">
        <v>0</v>
      </c>
    </row>
    <row r="23" spans="1:9" x14ac:dyDescent="0.3">
      <c r="A23" t="s">
        <v>4</v>
      </c>
      <c r="B23">
        <v>1.71</v>
      </c>
      <c r="E23" s="16"/>
      <c r="F23" s="12" t="s">
        <v>31</v>
      </c>
      <c r="G23" s="12" t="s">
        <v>32</v>
      </c>
      <c r="H23" s="7">
        <f>H22</f>
        <v>0</v>
      </c>
      <c r="I23" s="7">
        <f>F12</f>
        <v>5.82</v>
      </c>
    </row>
    <row r="24" spans="1:9" x14ac:dyDescent="0.3">
      <c r="A24" t="s">
        <v>5</v>
      </c>
      <c r="B24">
        <v>0.12</v>
      </c>
      <c r="E24" s="16"/>
      <c r="F24" s="12" t="s">
        <v>33</v>
      </c>
      <c r="G24" s="12" t="s">
        <v>34</v>
      </c>
      <c r="H24" s="7">
        <f>F11</f>
        <v>14.5</v>
      </c>
      <c r="I24" s="7">
        <f>F12</f>
        <v>5.82</v>
      </c>
    </row>
    <row r="25" spans="1:9" x14ac:dyDescent="0.3">
      <c r="A25" t="s">
        <v>6</v>
      </c>
      <c r="B25">
        <v>7.0000000000000007E-2</v>
      </c>
      <c r="E25" s="17"/>
      <c r="F25" s="18" t="s">
        <v>35</v>
      </c>
      <c r="G25" s="18" t="s">
        <v>36</v>
      </c>
      <c r="H25" s="7">
        <f>F11</f>
        <v>14.5</v>
      </c>
      <c r="I25" s="7">
        <f>I22</f>
        <v>0</v>
      </c>
    </row>
    <row r="26" spans="1:9" x14ac:dyDescent="0.3">
      <c r="A26" t="s">
        <v>7</v>
      </c>
      <c r="B26">
        <v>0.06</v>
      </c>
    </row>
    <row r="27" spans="1:9" x14ac:dyDescent="0.3">
      <c r="A27" t="s">
        <v>8</v>
      </c>
      <c r="B27">
        <v>0.06</v>
      </c>
      <c r="E27" s="19" t="s">
        <v>37</v>
      </c>
      <c r="F27">
        <f>F11*F12</f>
        <v>84.39</v>
      </c>
    </row>
    <row r="28" spans="1:9" x14ac:dyDescent="0.3">
      <c r="A28" t="s">
        <v>9</v>
      </c>
      <c r="B28">
        <v>0.72</v>
      </c>
      <c r="E28" s="19" t="s">
        <v>38</v>
      </c>
      <c r="F28">
        <f>F17*F18</f>
        <v>68.774000000000001</v>
      </c>
    </row>
    <row r="29" spans="1:9" x14ac:dyDescent="0.3">
      <c r="A29" t="s">
        <v>10</v>
      </c>
      <c r="B29">
        <v>1.9</v>
      </c>
      <c r="E29" s="19" t="s">
        <v>39</v>
      </c>
      <c r="F29" s="20">
        <f>F28/F27</f>
        <v>0.81495437848086272</v>
      </c>
    </row>
    <row r="31" spans="1:9" x14ac:dyDescent="0.3">
      <c r="A31" t="s">
        <v>66</v>
      </c>
      <c r="B31">
        <f>B6+B19</f>
        <v>30</v>
      </c>
      <c r="E31" s="19" t="s">
        <v>40</v>
      </c>
      <c r="F31">
        <f>F7*F8</f>
        <v>68.774000000000001</v>
      </c>
    </row>
    <row r="32" spans="1:9" x14ac:dyDescent="0.3">
      <c r="E32" s="19" t="s">
        <v>41</v>
      </c>
      <c r="F32">
        <f>F3*F4</f>
        <v>68.774000000000001</v>
      </c>
    </row>
    <row r="33" spans="5:6" x14ac:dyDescent="0.3">
      <c r="E33" s="19" t="s">
        <v>42</v>
      </c>
      <c r="F33" s="20">
        <f>(F32/F31)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370A-D4B6-484C-8498-1A03417A6591}">
  <dimension ref="A2:K70"/>
  <sheetViews>
    <sheetView tabSelected="1" topLeftCell="A46" zoomScale="62" zoomScaleNormal="62" workbookViewId="0">
      <selection activeCell="B70" sqref="B70"/>
    </sheetView>
  </sheetViews>
  <sheetFormatPr defaultRowHeight="14.4" x14ac:dyDescent="0.3"/>
  <cols>
    <col min="1" max="1" width="34.33203125" customWidth="1"/>
    <col min="4" max="4" width="28.21875" customWidth="1"/>
    <col min="9" max="9" width="24.88671875" customWidth="1"/>
  </cols>
  <sheetData>
    <row r="2" spans="1:11" x14ac:dyDescent="0.3">
      <c r="A2" t="s">
        <v>61</v>
      </c>
      <c r="B2">
        <v>1</v>
      </c>
      <c r="C2">
        <f>'ALU8'!B57</f>
        <v>240</v>
      </c>
      <c r="E2" s="4" t="s">
        <v>18</v>
      </c>
      <c r="F2" s="9"/>
    </row>
    <row r="3" spans="1:11" x14ac:dyDescent="0.3">
      <c r="E3" s="6" t="s">
        <v>19</v>
      </c>
      <c r="F3" s="10">
        <f xml:space="preserve"> MAX(B11,B25,B39,B52)+ MIN(B11,B25,B39,B52)</f>
        <v>117.25000000000001</v>
      </c>
      <c r="I3" s="22" t="s">
        <v>0</v>
      </c>
      <c r="J3" s="22">
        <v>3</v>
      </c>
    </row>
    <row r="4" spans="1:11" x14ac:dyDescent="0.3">
      <c r="A4" t="s">
        <v>2</v>
      </c>
      <c r="E4" s="8" t="s">
        <v>20</v>
      </c>
      <c r="F4" s="11">
        <f>0.4+(B12*1.71)+((B12-1)*0.8)+0.4</f>
        <v>78.086100000000002</v>
      </c>
      <c r="I4" s="22" t="s">
        <v>47</v>
      </c>
      <c r="J4" s="26">
        <v>5</v>
      </c>
    </row>
    <row r="5" spans="1:11" x14ac:dyDescent="0.3">
      <c r="A5" t="s">
        <v>3</v>
      </c>
      <c r="B5">
        <f>'ALU8'!F3</f>
        <v>102.45</v>
      </c>
      <c r="E5" s="12"/>
      <c r="F5" s="13"/>
    </row>
    <row r="6" spans="1:11" x14ac:dyDescent="0.3">
      <c r="A6" t="s">
        <v>4</v>
      </c>
      <c r="B6">
        <f>'ALU8'!F12</f>
        <v>30.919999999999998</v>
      </c>
      <c r="E6" s="4" t="s">
        <v>21</v>
      </c>
      <c r="F6" s="5"/>
    </row>
    <row r="7" spans="1:11" x14ac:dyDescent="0.3">
      <c r="A7" t="s">
        <v>5</v>
      </c>
      <c r="B7">
        <v>0.12</v>
      </c>
      <c r="E7" s="6" t="s">
        <v>19</v>
      </c>
      <c r="F7" s="10">
        <f>F3</f>
        <v>117.25000000000001</v>
      </c>
    </row>
    <row r="8" spans="1:11" x14ac:dyDescent="0.3">
      <c r="A8" t="s">
        <v>6</v>
      </c>
      <c r="B8">
        <v>7.0000000000000007E-2</v>
      </c>
      <c r="E8" s="8" t="s">
        <v>20</v>
      </c>
      <c r="F8" s="11">
        <f>F4</f>
        <v>78.086100000000002</v>
      </c>
      <c r="I8" s="23"/>
      <c r="J8" s="7"/>
    </row>
    <row r="9" spans="1:11" x14ac:dyDescent="0.3">
      <c r="A9" t="s">
        <v>7</v>
      </c>
      <c r="B9">
        <v>0.06</v>
      </c>
      <c r="E9" s="12"/>
      <c r="F9" s="13"/>
      <c r="I9" s="24" t="s">
        <v>53</v>
      </c>
      <c r="J9" s="7">
        <v>2.5000000000000001E-2</v>
      </c>
    </row>
    <row r="10" spans="1:11" x14ac:dyDescent="0.3">
      <c r="A10" t="s">
        <v>8</v>
      </c>
      <c r="B10">
        <v>0.06</v>
      </c>
      <c r="E10" s="4" t="s">
        <v>22</v>
      </c>
      <c r="F10" s="5"/>
      <c r="I10" s="2" t="s">
        <v>54</v>
      </c>
      <c r="J10" s="7">
        <f>J9*8</f>
        <v>0.2</v>
      </c>
    </row>
    <row r="11" spans="1:11" x14ac:dyDescent="0.3">
      <c r="A11" t="s">
        <v>9</v>
      </c>
      <c r="B11">
        <f>B5+B9+B10</f>
        <v>102.57000000000001</v>
      </c>
      <c r="E11" s="6" t="s">
        <v>19</v>
      </c>
      <c r="F11" s="10">
        <f>F7+J12</f>
        <v>118.05000000000001</v>
      </c>
      <c r="I11" s="2" t="s">
        <v>13</v>
      </c>
      <c r="J11" s="7">
        <f>J10*2</f>
        <v>0.4</v>
      </c>
    </row>
    <row r="12" spans="1:11" x14ac:dyDescent="0.3">
      <c r="A12" t="s">
        <v>10</v>
      </c>
      <c r="B12">
        <f>B6+B7+B8</f>
        <v>31.11</v>
      </c>
      <c r="E12" s="8" t="s">
        <v>20</v>
      </c>
      <c r="F12" s="11">
        <f>F4 + J12</f>
        <v>78.886099999999999</v>
      </c>
      <c r="I12" s="3" t="s">
        <v>14</v>
      </c>
      <c r="J12" s="7">
        <f>J11*2</f>
        <v>0.8</v>
      </c>
    </row>
    <row r="13" spans="1:11" x14ac:dyDescent="0.3">
      <c r="E13" s="12"/>
      <c r="F13" s="12"/>
      <c r="I13" s="23"/>
      <c r="J13" s="7"/>
    </row>
    <row r="14" spans="1:11" x14ac:dyDescent="0.3">
      <c r="E14" s="4" t="s">
        <v>23</v>
      </c>
      <c r="F14" s="9"/>
    </row>
    <row r="15" spans="1:11" x14ac:dyDescent="0.3">
      <c r="E15" s="6" t="s">
        <v>24</v>
      </c>
      <c r="F15" s="7">
        <f>J11*4</f>
        <v>1.6</v>
      </c>
    </row>
    <row r="16" spans="1:11" x14ac:dyDescent="0.3">
      <c r="A16" t="s">
        <v>62</v>
      </c>
      <c r="B16">
        <v>1</v>
      </c>
      <c r="C16">
        <f>LFSR!B57</f>
        <v>52</v>
      </c>
      <c r="E16" s="6" t="s">
        <v>25</v>
      </c>
      <c r="F16" s="14">
        <f>F15- B8</f>
        <v>1.53</v>
      </c>
      <c r="I16" s="27"/>
      <c r="J16" s="28"/>
      <c r="K16" s="29"/>
    </row>
    <row r="17" spans="1:11" x14ac:dyDescent="0.3">
      <c r="E17" s="6" t="s">
        <v>26</v>
      </c>
      <c r="F17" s="7">
        <f>F3</f>
        <v>117.25000000000001</v>
      </c>
      <c r="I17" s="27"/>
      <c r="J17" s="28"/>
      <c r="K17" s="29"/>
    </row>
    <row r="18" spans="1:11" x14ac:dyDescent="0.3">
      <c r="A18" t="s">
        <v>2</v>
      </c>
      <c r="E18" s="8" t="s">
        <v>27</v>
      </c>
      <c r="F18" s="7">
        <f>F4</f>
        <v>78.086100000000002</v>
      </c>
    </row>
    <row r="19" spans="1:11" x14ac:dyDescent="0.3">
      <c r="A19" t="s">
        <v>3</v>
      </c>
      <c r="B19">
        <f>LFSR!F11</f>
        <v>46.810000000000009</v>
      </c>
    </row>
    <row r="20" spans="1:11" x14ac:dyDescent="0.3">
      <c r="A20" t="s">
        <v>4</v>
      </c>
      <c r="B20">
        <f>LFSR!F12</f>
        <v>10.840000000000002</v>
      </c>
    </row>
    <row r="21" spans="1:11" x14ac:dyDescent="0.3">
      <c r="A21" t="s">
        <v>5</v>
      </c>
      <c r="B21">
        <v>0.12</v>
      </c>
      <c r="E21" s="4" t="s">
        <v>28</v>
      </c>
      <c r="F21" s="15"/>
      <c r="G21" s="15"/>
      <c r="H21" s="15"/>
      <c r="I21" s="9"/>
    </row>
    <row r="22" spans="1:11" x14ac:dyDescent="0.3">
      <c r="A22" t="s">
        <v>6</v>
      </c>
      <c r="B22">
        <v>7.0000000000000007E-2</v>
      </c>
      <c r="E22" s="16"/>
      <c r="F22" s="12" t="s">
        <v>29</v>
      </c>
      <c r="G22" s="12" t="s">
        <v>30</v>
      </c>
      <c r="H22" s="7">
        <v>0</v>
      </c>
      <c r="I22" s="7">
        <v>0</v>
      </c>
    </row>
    <row r="23" spans="1:11" x14ac:dyDescent="0.3">
      <c r="A23" t="s">
        <v>7</v>
      </c>
      <c r="B23">
        <v>0.06</v>
      </c>
      <c r="E23" s="16"/>
      <c r="F23" s="12" t="s">
        <v>31</v>
      </c>
      <c r="G23" s="12" t="s">
        <v>32</v>
      </c>
      <c r="H23" s="7">
        <f>H22</f>
        <v>0</v>
      </c>
      <c r="I23" s="7">
        <f>F12</f>
        <v>78.886099999999999</v>
      </c>
    </row>
    <row r="24" spans="1:11" x14ac:dyDescent="0.3">
      <c r="A24" t="s">
        <v>8</v>
      </c>
      <c r="B24">
        <v>0.06</v>
      </c>
      <c r="E24" s="16"/>
      <c r="F24" s="12" t="s">
        <v>33</v>
      </c>
      <c r="G24" s="12" t="s">
        <v>34</v>
      </c>
      <c r="H24" s="7">
        <f>F11</f>
        <v>118.05000000000001</v>
      </c>
      <c r="I24" s="7">
        <f>F12</f>
        <v>78.886099999999999</v>
      </c>
    </row>
    <row r="25" spans="1:11" x14ac:dyDescent="0.3">
      <c r="A25" t="s">
        <v>9</v>
      </c>
      <c r="B25">
        <f>B19+B23+B24</f>
        <v>46.930000000000014</v>
      </c>
      <c r="E25" s="17"/>
      <c r="F25" s="18" t="s">
        <v>35</v>
      </c>
      <c r="G25" s="18" t="s">
        <v>36</v>
      </c>
      <c r="H25" s="7">
        <f>F11</f>
        <v>118.05000000000001</v>
      </c>
      <c r="I25" s="7">
        <f>I22</f>
        <v>0</v>
      </c>
    </row>
    <row r="26" spans="1:11" x14ac:dyDescent="0.3">
      <c r="A26" t="s">
        <v>10</v>
      </c>
      <c r="B26">
        <f>B20+B21+B22</f>
        <v>11.030000000000001</v>
      </c>
    </row>
    <row r="27" spans="1:11" x14ac:dyDescent="0.3">
      <c r="E27" s="19" t="s">
        <v>37</v>
      </c>
      <c r="F27">
        <f>F11*F12</f>
        <v>9312.504105</v>
      </c>
    </row>
    <row r="28" spans="1:11" x14ac:dyDescent="0.3">
      <c r="E28" s="19" t="s">
        <v>38</v>
      </c>
      <c r="F28">
        <f>F17*F18</f>
        <v>9155.5952250000009</v>
      </c>
    </row>
    <row r="29" spans="1:11" x14ac:dyDescent="0.3">
      <c r="E29" s="19" t="s">
        <v>39</v>
      </c>
      <c r="F29" s="20">
        <f>F28/F27</f>
        <v>0.98315073172255008</v>
      </c>
    </row>
    <row r="30" spans="1:11" x14ac:dyDescent="0.3">
      <c r="A30" t="s">
        <v>58</v>
      </c>
      <c r="B30">
        <v>1</v>
      </c>
      <c r="C30">
        <f>MUX!B4</f>
        <v>16</v>
      </c>
    </row>
    <row r="31" spans="1:11" x14ac:dyDescent="0.3">
      <c r="E31" s="19" t="s">
        <v>40</v>
      </c>
      <c r="F31">
        <f>F7*F8</f>
        <v>9155.5952250000009</v>
      </c>
    </row>
    <row r="32" spans="1:11" x14ac:dyDescent="0.3">
      <c r="A32" t="s">
        <v>2</v>
      </c>
      <c r="E32" s="19" t="s">
        <v>41</v>
      </c>
      <c r="F32">
        <f>F3*F4</f>
        <v>9155.5952250000009</v>
      </c>
    </row>
    <row r="33" spans="1:6" x14ac:dyDescent="0.3">
      <c r="A33" t="s">
        <v>3</v>
      </c>
      <c r="B33">
        <f>MUX!F11</f>
        <v>14.560000000000002</v>
      </c>
      <c r="E33" s="19" t="s">
        <v>42</v>
      </c>
      <c r="F33" s="20">
        <f>(F32/F31)</f>
        <v>1</v>
      </c>
    </row>
    <row r="34" spans="1:6" x14ac:dyDescent="0.3">
      <c r="A34" t="s">
        <v>4</v>
      </c>
      <c r="B34">
        <f>MUX!F12</f>
        <v>5.82</v>
      </c>
    </row>
    <row r="35" spans="1:6" x14ac:dyDescent="0.3">
      <c r="A35" t="s">
        <v>5</v>
      </c>
      <c r="B35">
        <v>0.12</v>
      </c>
    </row>
    <row r="36" spans="1:6" x14ac:dyDescent="0.3">
      <c r="A36" t="s">
        <v>6</v>
      </c>
      <c r="B36">
        <v>7.0000000000000007E-2</v>
      </c>
    </row>
    <row r="37" spans="1:6" x14ac:dyDescent="0.3">
      <c r="A37" t="s">
        <v>7</v>
      </c>
      <c r="B37">
        <v>0.06</v>
      </c>
    </row>
    <row r="38" spans="1:6" x14ac:dyDescent="0.3">
      <c r="A38" t="s">
        <v>8</v>
      </c>
      <c r="B38">
        <v>0.06</v>
      </c>
    </row>
    <row r="39" spans="1:6" x14ac:dyDescent="0.3">
      <c r="A39" t="s">
        <v>9</v>
      </c>
      <c r="B39">
        <f>B33+B37+B38</f>
        <v>14.680000000000003</v>
      </c>
    </row>
    <row r="40" spans="1:6" x14ac:dyDescent="0.3">
      <c r="A40" t="s">
        <v>10</v>
      </c>
      <c r="B40">
        <f>B34+B35+B36</f>
        <v>6.0100000000000007</v>
      </c>
    </row>
    <row r="43" spans="1:6" x14ac:dyDescent="0.3">
      <c r="A43" t="s">
        <v>63</v>
      </c>
      <c r="B43">
        <v>1</v>
      </c>
      <c r="C43">
        <f>SISR!B85</f>
        <v>55</v>
      </c>
    </row>
    <row r="45" spans="1:6" x14ac:dyDescent="0.3">
      <c r="A45" t="s">
        <v>2</v>
      </c>
    </row>
    <row r="46" spans="1:6" x14ac:dyDescent="0.3">
      <c r="A46" t="s">
        <v>3</v>
      </c>
      <c r="B46">
        <f>SISR!F11</f>
        <v>47.390000000000008</v>
      </c>
    </row>
    <row r="47" spans="1:6" x14ac:dyDescent="0.3">
      <c r="A47" t="s">
        <v>4</v>
      </c>
      <c r="B47">
        <f>SISR!F12</f>
        <v>10.840000000000002</v>
      </c>
    </row>
    <row r="48" spans="1:6" x14ac:dyDescent="0.3">
      <c r="A48" t="s">
        <v>5</v>
      </c>
      <c r="B48">
        <v>0.12</v>
      </c>
    </row>
    <row r="49" spans="1:3" x14ac:dyDescent="0.3">
      <c r="A49" t="s">
        <v>6</v>
      </c>
      <c r="B49">
        <v>7.0000000000000007E-2</v>
      </c>
    </row>
    <row r="50" spans="1:3" x14ac:dyDescent="0.3">
      <c r="A50" t="s">
        <v>7</v>
      </c>
      <c r="B50">
        <v>0.06</v>
      </c>
    </row>
    <row r="51" spans="1:3" x14ac:dyDescent="0.3">
      <c r="A51" t="s">
        <v>8</v>
      </c>
      <c r="B51">
        <v>0.06</v>
      </c>
    </row>
    <row r="52" spans="1:3" x14ac:dyDescent="0.3">
      <c r="A52" t="s">
        <v>9</v>
      </c>
      <c r="B52">
        <f>B46+B50+B51</f>
        <v>47.510000000000012</v>
      </c>
    </row>
    <row r="53" spans="1:3" x14ac:dyDescent="0.3">
      <c r="A53" t="s">
        <v>10</v>
      </c>
      <c r="B53">
        <f>B47+B48+B49</f>
        <v>11.030000000000001</v>
      </c>
    </row>
    <row r="57" spans="1:3" x14ac:dyDescent="0.3">
      <c r="A57" t="s">
        <v>64</v>
      </c>
      <c r="B57">
        <v>1</v>
      </c>
      <c r="C57">
        <f>NAND16!B31</f>
        <v>30</v>
      </c>
    </row>
    <row r="59" spans="1:3" x14ac:dyDescent="0.3">
      <c r="A59" t="s">
        <v>2</v>
      </c>
    </row>
    <row r="60" spans="1:3" x14ac:dyDescent="0.3">
      <c r="A60" t="s">
        <v>3</v>
      </c>
      <c r="B60">
        <f>NAND16!F11</f>
        <v>14.5</v>
      </c>
    </row>
    <row r="61" spans="1:3" x14ac:dyDescent="0.3">
      <c r="A61" t="s">
        <v>4</v>
      </c>
      <c r="B61">
        <f>NAND16!F12</f>
        <v>5.82</v>
      </c>
    </row>
    <row r="62" spans="1:3" x14ac:dyDescent="0.3">
      <c r="A62" t="s">
        <v>5</v>
      </c>
      <c r="B62">
        <v>0.12</v>
      </c>
    </row>
    <row r="63" spans="1:3" x14ac:dyDescent="0.3">
      <c r="A63" t="s">
        <v>6</v>
      </c>
      <c r="B63">
        <v>7.0000000000000007E-2</v>
      </c>
    </row>
    <row r="64" spans="1:3" x14ac:dyDescent="0.3">
      <c r="A64" t="s">
        <v>7</v>
      </c>
      <c r="B64">
        <v>0.06</v>
      </c>
    </row>
    <row r="65" spans="1:2" x14ac:dyDescent="0.3">
      <c r="A65" t="s">
        <v>8</v>
      </c>
      <c r="B65">
        <v>0.06</v>
      </c>
    </row>
    <row r="66" spans="1:2" x14ac:dyDescent="0.3">
      <c r="A66" t="s">
        <v>9</v>
      </c>
      <c r="B66">
        <f>B60+B64+B65</f>
        <v>14.620000000000001</v>
      </c>
    </row>
    <row r="67" spans="1:2" x14ac:dyDescent="0.3">
      <c r="A67" t="s">
        <v>10</v>
      </c>
      <c r="B67">
        <f>B61+B62+B63</f>
        <v>6.0100000000000007</v>
      </c>
    </row>
    <row r="70" spans="1:2" x14ac:dyDescent="0.3">
      <c r="A70" t="s">
        <v>67</v>
      </c>
      <c r="B70">
        <f>C2+C16+C30+C43+C57</f>
        <v>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5847-BBCB-407A-96F1-CC20147443E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ADD</vt:lpstr>
      <vt:lpstr>MUX</vt:lpstr>
      <vt:lpstr>ALU8</vt:lpstr>
      <vt:lpstr>MULT</vt:lpstr>
      <vt:lpstr>LFSR</vt:lpstr>
      <vt:lpstr>SISR</vt:lpstr>
      <vt:lpstr>NAND16</vt:lpstr>
      <vt:lpstr>ALU_BIST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Gloria Mbaka (RIT Student)</cp:lastModifiedBy>
  <dcterms:created xsi:type="dcterms:W3CDTF">2025-03-22T14:50:35Z</dcterms:created>
  <dcterms:modified xsi:type="dcterms:W3CDTF">2025-05-06T04:17:53Z</dcterms:modified>
</cp:coreProperties>
</file>