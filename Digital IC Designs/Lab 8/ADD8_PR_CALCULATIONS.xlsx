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Downloads\"/>
    </mc:Choice>
  </mc:AlternateContent>
  <xr:revisionPtr revIDLastSave="0" documentId="13_ncr:1_{9EA9043B-F4ED-4990-AE43-756A3C7FABF8}" xr6:coauthVersionLast="47" xr6:coauthVersionMax="47" xr10:uidLastSave="{00000000-0000-0000-0000-000000000000}"/>
  <bookViews>
    <workbookView xWindow="-108" yWindow="-108" windowWidth="23256" windowHeight="14616" xr2:uid="{D7652B19-8278-4DBD-A117-6D7633EFE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1" i="1"/>
  <c r="F8" i="1"/>
  <c r="F31" i="1" s="1"/>
  <c r="F33" i="1" s="1"/>
  <c r="F32" i="1"/>
  <c r="F4" i="1"/>
  <c r="F12" i="1"/>
  <c r="I23" i="1" s="1"/>
  <c r="F28" i="1"/>
  <c r="H25" i="1"/>
  <c r="H24" i="1"/>
  <c r="F3" i="1"/>
  <c r="F18" i="1"/>
  <c r="F17" i="1"/>
  <c r="B18" i="1"/>
  <c r="B17" i="1"/>
  <c r="B19" i="1" s="1"/>
  <c r="I25" i="1"/>
  <c r="H23" i="1"/>
  <c r="F7" i="1"/>
  <c r="B23" i="1"/>
  <c r="B22" i="1"/>
  <c r="I24" i="1" l="1"/>
  <c r="F27" i="1"/>
  <c r="F29" i="1" s="1"/>
</calcChain>
</file>

<file path=xl/sharedStrings.xml><?xml version="1.0" encoding="utf-8"?>
<sst xmlns="http://schemas.openxmlformats.org/spreadsheetml/2006/main" count="47" uniqueCount="43">
  <si>
    <t xml:space="preserve">Number of Rows </t>
  </si>
  <si>
    <t>Cell Count</t>
  </si>
  <si>
    <t>Cell Dimensions</t>
  </si>
  <si>
    <t>PR Boundary Width</t>
  </si>
  <si>
    <t>PR Boundary Height</t>
  </si>
  <si>
    <t>Top Margin</t>
  </si>
  <si>
    <t>Bottom Margin</t>
  </si>
  <si>
    <t>Left Margin</t>
  </si>
  <si>
    <t>Right Margin</t>
  </si>
  <si>
    <t>Full Cell Width</t>
  </si>
  <si>
    <t>Full Cell Height</t>
  </si>
  <si>
    <r>
      <t>λ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rFont val="Arial"/>
      </rPr>
      <t>µ</t>
    </r>
    <r>
      <rPr>
        <sz val="11"/>
        <color theme="1"/>
        <rFont val="Aptos Narrow"/>
        <family val="2"/>
        <scheme val="minor"/>
      </rPr>
      <t>m)</t>
    </r>
  </si>
  <si>
    <r>
      <t>One Routing Track - 8*</t>
    </r>
    <r>
      <rPr>
        <sz val="10"/>
        <rFont val="Arial"/>
      </rPr>
      <t>λ</t>
    </r>
    <r>
      <rPr>
        <sz val="11"/>
        <color theme="1"/>
        <rFont val="Aptos Narrow"/>
        <family val="2"/>
        <scheme val="minor"/>
      </rPr>
      <t xml:space="preserve"> (W)</t>
    </r>
  </si>
  <si>
    <t>Two Routing Track (W)</t>
  </si>
  <si>
    <t>Four Routing Tracks (W)</t>
  </si>
  <si>
    <t>Check Cell Dimensions</t>
  </si>
  <si>
    <t>Full Cell Width (Check)</t>
  </si>
  <si>
    <t>Full Cell Height (Check)</t>
  </si>
  <si>
    <t>All Cell Area</t>
  </si>
  <si>
    <t>Total Width</t>
  </si>
  <si>
    <t>Total Height</t>
  </si>
  <si>
    <t>Row Calculation</t>
  </si>
  <si>
    <t xml:space="preserve">Bounding Box </t>
  </si>
  <si>
    <t>PR Region</t>
  </si>
  <si>
    <t>X</t>
  </si>
  <si>
    <t>Y</t>
  </si>
  <si>
    <t>Width</t>
  </si>
  <si>
    <t>Height</t>
  </si>
  <si>
    <t>Bounding Box Polygon Vertices</t>
  </si>
  <si>
    <t>X1</t>
  </si>
  <si>
    <t>Y1</t>
  </si>
  <si>
    <t>X2</t>
  </si>
  <si>
    <t>Y2</t>
  </si>
  <si>
    <t>X3</t>
  </si>
  <si>
    <t>Y3</t>
  </si>
  <si>
    <t>X4</t>
  </si>
  <si>
    <t>Y4</t>
  </si>
  <si>
    <t>Bounding Box Area</t>
  </si>
  <si>
    <t>PR Region Area</t>
  </si>
  <si>
    <t>Bounding Box Utilization</t>
  </si>
  <si>
    <t>Row Area</t>
  </si>
  <si>
    <t>Cells Area</t>
  </si>
  <si>
    <t>Row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</si>
</sst>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right" indent="4"/>
    </xf>
    <xf numFmtId="0" fontId="0" fillId="2" borderId="2" xfId="0" applyFill="1" applyBorder="1" applyAlignment="1">
      <alignment horizontal="right" indent="1"/>
    </xf>
    <xf numFmtId="0" fontId="0" fillId="2" borderId="3" xfId="0" applyFill="1" applyBorder="1" applyAlignment="1">
      <alignment horizontal="right" indent="1"/>
    </xf>
    <xf numFmtId="0" fontId="2" fillId="2" borderId="4" xfId="0" applyFont="1" applyFill="1" applyBorder="1"/>
    <xf numFmtId="164" fontId="0" fillId="2" borderId="5" xfId="0" applyNumberFormat="1" applyFill="1" applyBorder="1"/>
    <xf numFmtId="0" fontId="0" fillId="2" borderId="6" xfId="0" applyFill="1" applyBorder="1" applyAlignment="1">
      <alignment horizontal="right" indent="1"/>
    </xf>
    <xf numFmtId="164" fontId="0" fillId="2" borderId="7" xfId="0" applyNumberFormat="1" applyFill="1" applyBorder="1"/>
    <xf numFmtId="0" fontId="0" fillId="2" borderId="8" xfId="0" applyFill="1" applyBorder="1" applyAlignment="1">
      <alignment horizontal="right" indent="1"/>
    </xf>
    <xf numFmtId="0" fontId="0" fillId="2" borderId="5" xfId="0" applyFill="1" applyBorder="1"/>
    <xf numFmtId="164" fontId="0" fillId="2" borderId="9" xfId="0" applyNumberFormat="1" applyFill="1" applyBorder="1"/>
    <xf numFmtId="164" fontId="0" fillId="2" borderId="10" xfId="0" applyNumberFormat="1" applyFill="1" applyBorder="1"/>
    <xf numFmtId="0" fontId="0" fillId="2" borderId="0" xfId="0" applyFill="1"/>
    <xf numFmtId="164" fontId="0" fillId="2" borderId="0" xfId="0" applyNumberFormat="1" applyFill="1"/>
    <xf numFmtId="164" fontId="0" fillId="3" borderId="7" xfId="0" applyNumberFormat="1" applyFill="1" applyBorder="1"/>
    <xf numFmtId="0" fontId="0" fillId="2" borderId="11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12" xfId="0" applyFill="1" applyBorder="1"/>
    <xf numFmtId="0" fontId="0" fillId="0" borderId="0" xfId="0" applyAlignment="1">
      <alignment horizontal="righ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21D5-CE96-48CC-8F18-6AF5F1B7E0B8}">
  <dimension ref="A2:I33"/>
  <sheetViews>
    <sheetView tabSelected="1" zoomScale="101" workbookViewId="0">
      <selection activeCell="L17" sqref="L17"/>
    </sheetView>
  </sheetViews>
  <sheetFormatPr defaultRowHeight="14.4" x14ac:dyDescent="0.3"/>
  <cols>
    <col min="1" max="1" width="34.33203125" customWidth="1"/>
  </cols>
  <sheetData>
    <row r="2" spans="1:6" x14ac:dyDescent="0.3">
      <c r="E2" s="4" t="s">
        <v>18</v>
      </c>
      <c r="F2" s="9"/>
    </row>
    <row r="3" spans="1:6" x14ac:dyDescent="0.3">
      <c r="A3" t="s">
        <v>0</v>
      </c>
      <c r="B3">
        <v>2</v>
      </c>
      <c r="E3" s="6" t="s">
        <v>19</v>
      </c>
      <c r="F3" s="10">
        <f>(B22 *B4)/B3</f>
        <v>25.279999999999998</v>
      </c>
    </row>
    <row r="4" spans="1:6" x14ac:dyDescent="0.3">
      <c r="A4" t="s">
        <v>1</v>
      </c>
      <c r="B4">
        <v>8</v>
      </c>
      <c r="E4" s="8" t="s">
        <v>20</v>
      </c>
      <c r="F4" s="11">
        <f>0.4 + (B3 * 1.71) + ((B3 -1)*0.8) + 0.4</f>
        <v>5.0200000000000005</v>
      </c>
    </row>
    <row r="5" spans="1:6" x14ac:dyDescent="0.3">
      <c r="E5" s="12"/>
      <c r="F5" s="13"/>
    </row>
    <row r="6" spans="1:6" x14ac:dyDescent="0.3">
      <c r="A6" t="s">
        <v>2</v>
      </c>
      <c r="E6" s="4" t="s">
        <v>21</v>
      </c>
      <c r="F6" s="5"/>
    </row>
    <row r="7" spans="1:6" x14ac:dyDescent="0.3">
      <c r="A7" t="s">
        <v>3</v>
      </c>
      <c r="B7">
        <v>6.2</v>
      </c>
      <c r="E7" s="6" t="s">
        <v>19</v>
      </c>
      <c r="F7" s="10">
        <f>F3</f>
        <v>25.279999999999998</v>
      </c>
    </row>
    <row r="8" spans="1:6" x14ac:dyDescent="0.3">
      <c r="A8" t="s">
        <v>4</v>
      </c>
      <c r="B8">
        <v>1.71</v>
      </c>
      <c r="E8" s="8" t="s">
        <v>20</v>
      </c>
      <c r="F8" s="11">
        <f>F4</f>
        <v>5.0200000000000005</v>
      </c>
    </row>
    <row r="9" spans="1:6" x14ac:dyDescent="0.3">
      <c r="A9" t="s">
        <v>5</v>
      </c>
      <c r="B9">
        <v>0.12</v>
      </c>
      <c r="E9" s="12"/>
      <c r="F9" s="13"/>
    </row>
    <row r="10" spans="1:6" x14ac:dyDescent="0.3">
      <c r="A10" t="s">
        <v>6</v>
      </c>
      <c r="B10">
        <v>7.0000000000000007E-2</v>
      </c>
      <c r="E10" s="4" t="s">
        <v>22</v>
      </c>
      <c r="F10" s="5"/>
    </row>
    <row r="11" spans="1:6" x14ac:dyDescent="0.3">
      <c r="A11" t="s">
        <v>7</v>
      </c>
      <c r="B11">
        <v>0.06</v>
      </c>
      <c r="E11" s="6" t="s">
        <v>19</v>
      </c>
      <c r="F11" s="10">
        <f>F7+B19</f>
        <v>26.08</v>
      </c>
    </row>
    <row r="12" spans="1:6" x14ac:dyDescent="0.3">
      <c r="A12" t="s">
        <v>8</v>
      </c>
      <c r="B12">
        <v>0.06</v>
      </c>
      <c r="E12" s="8" t="s">
        <v>20</v>
      </c>
      <c r="F12" s="11">
        <f>F4 +B19</f>
        <v>5.82</v>
      </c>
    </row>
    <row r="13" spans="1:6" x14ac:dyDescent="0.3">
      <c r="A13" t="s">
        <v>9</v>
      </c>
      <c r="B13">
        <v>6.32</v>
      </c>
      <c r="E13" s="12"/>
      <c r="F13" s="12"/>
    </row>
    <row r="14" spans="1:6" x14ac:dyDescent="0.3">
      <c r="A14" t="s">
        <v>10</v>
      </c>
      <c r="B14">
        <v>1.9</v>
      </c>
      <c r="E14" s="4" t="s">
        <v>23</v>
      </c>
      <c r="F14" s="9"/>
    </row>
    <row r="15" spans="1:6" x14ac:dyDescent="0.3">
      <c r="E15" s="6" t="s">
        <v>24</v>
      </c>
      <c r="F15" s="7">
        <f>B18</f>
        <v>0.4</v>
      </c>
    </row>
    <row r="16" spans="1:6" x14ac:dyDescent="0.3">
      <c r="A16" s="1" t="s">
        <v>11</v>
      </c>
      <c r="B16" s="7">
        <v>2.5000000000000001E-2</v>
      </c>
      <c r="E16" s="6" t="s">
        <v>25</v>
      </c>
      <c r="F16" s="14">
        <f>B18-B10</f>
        <v>0.33</v>
      </c>
    </row>
    <row r="17" spans="1:9" x14ac:dyDescent="0.3">
      <c r="A17" s="2" t="s">
        <v>12</v>
      </c>
      <c r="B17" s="7">
        <f>B16*8</f>
        <v>0.2</v>
      </c>
      <c r="E17" s="6" t="s">
        <v>26</v>
      </c>
      <c r="F17" s="7">
        <f>(B22 * B4) / B3</f>
        <v>25.279999999999998</v>
      </c>
    </row>
    <row r="18" spans="1:9" x14ac:dyDescent="0.3">
      <c r="A18" s="2" t="s">
        <v>13</v>
      </c>
      <c r="B18" s="7">
        <f>B17*2</f>
        <v>0.4</v>
      </c>
      <c r="E18" s="8" t="s">
        <v>27</v>
      </c>
      <c r="F18" s="7">
        <f>0.4 + (B3 * 1.71) + ((B3 -1)*0.8) + 0.4</f>
        <v>5.0200000000000005</v>
      </c>
    </row>
    <row r="19" spans="1:9" x14ac:dyDescent="0.3">
      <c r="A19" s="3" t="s">
        <v>14</v>
      </c>
      <c r="B19" s="7">
        <f>B18*2</f>
        <v>0.8</v>
      </c>
    </row>
    <row r="21" spans="1:9" x14ac:dyDescent="0.3">
      <c r="A21" s="4" t="s">
        <v>15</v>
      </c>
      <c r="B21" s="5"/>
      <c r="E21" s="4" t="s">
        <v>28</v>
      </c>
      <c r="F21" s="15"/>
      <c r="G21" s="15"/>
      <c r="H21" s="15"/>
      <c r="I21" s="9"/>
    </row>
    <row r="22" spans="1:9" x14ac:dyDescent="0.3">
      <c r="A22" s="6" t="s">
        <v>16</v>
      </c>
      <c r="B22" s="7">
        <f>B7+B11+B12</f>
        <v>6.3199999999999994</v>
      </c>
      <c r="E22" s="16"/>
      <c r="F22" s="12" t="s">
        <v>29</v>
      </c>
      <c r="G22" s="12" t="s">
        <v>30</v>
      </c>
      <c r="H22" s="7">
        <v>0</v>
      </c>
      <c r="I22" s="7">
        <v>0</v>
      </c>
    </row>
    <row r="23" spans="1:9" x14ac:dyDescent="0.3">
      <c r="A23" s="8" t="s">
        <v>17</v>
      </c>
      <c r="B23" s="7">
        <f>B8+B9+B10</f>
        <v>1.9000000000000001</v>
      </c>
      <c r="E23" s="16"/>
      <c r="F23" s="12" t="s">
        <v>31</v>
      </c>
      <c r="G23" s="12" t="s">
        <v>32</v>
      </c>
      <c r="H23" s="7">
        <f>H22</f>
        <v>0</v>
      </c>
      <c r="I23" s="7">
        <f>F12</f>
        <v>5.82</v>
      </c>
    </row>
    <row r="24" spans="1:9" x14ac:dyDescent="0.3">
      <c r="E24" s="16"/>
      <c r="F24" s="12" t="s">
        <v>33</v>
      </c>
      <c r="G24" s="12" t="s">
        <v>34</v>
      </c>
      <c r="H24" s="7">
        <f>F11</f>
        <v>26.08</v>
      </c>
      <c r="I24" s="7">
        <f>F12</f>
        <v>5.82</v>
      </c>
    </row>
    <row r="25" spans="1:9" x14ac:dyDescent="0.3">
      <c r="E25" s="17"/>
      <c r="F25" s="18" t="s">
        <v>35</v>
      </c>
      <c r="G25" s="18" t="s">
        <v>36</v>
      </c>
      <c r="H25" s="7">
        <f>F11</f>
        <v>26.08</v>
      </c>
      <c r="I25" s="7">
        <f>I22</f>
        <v>0</v>
      </c>
    </row>
    <row r="27" spans="1:9" x14ac:dyDescent="0.3">
      <c r="E27" s="19" t="s">
        <v>37</v>
      </c>
      <c r="F27">
        <f>F11*F12</f>
        <v>151.78559999999999</v>
      </c>
    </row>
    <row r="28" spans="1:9" x14ac:dyDescent="0.3">
      <c r="E28" s="19" t="s">
        <v>38</v>
      </c>
      <c r="F28">
        <f>F17*F18</f>
        <v>126.90559999999999</v>
      </c>
    </row>
    <row r="29" spans="1:9" x14ac:dyDescent="0.3">
      <c r="E29" s="19" t="s">
        <v>39</v>
      </c>
      <c r="F29" s="20">
        <f>F28/F27</f>
        <v>0.83608458246368567</v>
      </c>
    </row>
    <row r="31" spans="1:9" x14ac:dyDescent="0.3">
      <c r="E31" s="19" t="s">
        <v>40</v>
      </c>
      <c r="F31">
        <f>F7*F8</f>
        <v>126.90559999999999</v>
      </c>
    </row>
    <row r="32" spans="1:9" x14ac:dyDescent="0.3">
      <c r="E32" s="19" t="s">
        <v>41</v>
      </c>
      <c r="F32">
        <f>F3*F4</f>
        <v>126.90559999999999</v>
      </c>
    </row>
    <row r="33" spans="5:6" x14ac:dyDescent="0.3">
      <c r="E33" s="19" t="s">
        <v>42</v>
      </c>
      <c r="F33" s="20">
        <f>(F32/F31)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2025-03-22T14:50:35Z</dcterms:created>
  <dcterms:modified xsi:type="dcterms:W3CDTF">2025-03-23T08:08:54Z</dcterms:modified>
</cp:coreProperties>
</file>